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📊月度统计" sheetId="2" state="visible" r:id="rId2"/>
    <sheet name="📈年度统计" sheetId="3" state="visible" r:id="rId3"/>
    <sheet name="🏪平台分布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.00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'🏪平台分布'!$A$3:$A$10</f>
            </numRef>
          </cat>
          <val>
            <numRef>
              <f>'🏪平台分布'!$C$3:$C$10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'🏪平台分布'!$A$3:$A$10</f>
            </numRef>
          </cat>
          <val>
            <numRef>
              <f>'🏪平台分布'!$B$3:$B$10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12" customWidth="1" min="9" max="9"/>
    <col width="20" customWidth="1" min="10" max="10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订单号</t>
        </is>
      </c>
      <c r="I2" s="2" t="inlineStr">
        <is>
          <t>截图</t>
        </is>
      </c>
      <c r="J2" s="2" t="inlineStr">
        <is>
          <t>备注</t>
        </is>
      </c>
    </row>
    <row r="3" ht="22" customHeight="1">
      <c r="A3" s="3">
        <f>IF(C3="","",ROW()-2)</f>
        <v/>
      </c>
      <c r="B3" s="3" t="n"/>
      <c r="C3" s="3" t="n"/>
      <c r="D3" s="4" t="n"/>
      <c r="E3" s="4" t="n"/>
      <c r="F3" s="5" t="n"/>
      <c r="G3" s="6" t="n"/>
      <c r="H3" s="4" t="n"/>
      <c r="I3" s="7" t="n"/>
      <c r="J3" s="4" t="n"/>
    </row>
    <row r="4" ht="22" customHeight="1">
      <c r="A4" s="3">
        <f>IF(C4="","",ROW()-2)</f>
        <v/>
      </c>
      <c r="B4" s="3" t="n"/>
      <c r="C4" s="3" t="n"/>
      <c r="D4" s="4" t="n"/>
      <c r="E4" s="4" t="n"/>
      <c r="F4" s="5" t="n"/>
      <c r="G4" s="6" t="n"/>
      <c r="H4" s="4" t="n"/>
      <c r="I4" s="7" t="n"/>
      <c r="J4" s="4" t="n"/>
    </row>
    <row r="5" ht="22" customHeight="1">
      <c r="A5" s="3">
        <f>IF(C5="","",ROW()-2)</f>
        <v/>
      </c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2" customHeight="1">
      <c r="A6" s="3">
        <f>IF(C6="","",ROW()-2)</f>
        <v/>
      </c>
      <c r="B6" s="3" t="n"/>
      <c r="C6" s="3" t="n"/>
      <c r="D6" s="4" t="n"/>
      <c r="E6" s="4" t="n"/>
      <c r="F6" s="5" t="n"/>
      <c r="G6" s="6" t="n"/>
      <c r="H6" s="4" t="n"/>
      <c r="I6" s="7" t="n"/>
      <c r="J6" s="4" t="n"/>
    </row>
    <row r="7" ht="22" customHeight="1">
      <c r="A7" s="3">
        <f>IF(C7="","",ROW()-2)</f>
        <v/>
      </c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>
        <f>IF(C8="","",ROW()-2)</f>
        <v/>
      </c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>
        <f>IF(C9="","",ROW()-2)</f>
        <v/>
      </c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>
        <f>IF(C10="","",ROW()-2)</f>
        <v/>
      </c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>
        <f>IF(C11="","",ROW()-2)</f>
        <v/>
      </c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>
        <f>IF(C12="","",ROW()-2)</f>
        <v/>
      </c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>
        <f>IF(C13="","",ROW()-2)</f>
        <v/>
      </c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>
        <f>IF(C14="","",ROW()-2)</f>
        <v/>
      </c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>
        <f>IF(C15="","",ROW()-2)</f>
        <v/>
      </c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>
        <f>IF(C16="","",ROW()-2)</f>
        <v/>
      </c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>
        <f>IF(C17="","",ROW()-2)</f>
        <v/>
      </c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>
        <f>IF(C18="","",ROW()-2)</f>
        <v/>
      </c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>
        <f>IF(C19="","",ROW()-2)</f>
        <v/>
      </c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>
        <f>IF(C20="","",ROW()-2)</f>
        <v/>
      </c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>
        <f>IF(C21="","",ROW()-2)</f>
        <v/>
      </c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>
        <f>IF(C22="","",ROW()-2)</f>
        <v/>
      </c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>
        <f>IF(C23="","",ROW()-2)</f>
        <v/>
      </c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>
        <f>IF(C24="","",ROW()-2)</f>
        <v/>
      </c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>
        <f>IF(C25="","",ROW()-2)</f>
        <v/>
      </c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>
        <f>IF(C26="","",ROW()-2)</f>
        <v/>
      </c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>
        <f>IF(C27="","",ROW()-2)</f>
        <v/>
      </c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>
        <f>IF(C28="","",ROW()-2)</f>
        <v/>
      </c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>
        <f>IF(C29="","",ROW()-2)</f>
        <v/>
      </c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>
        <f>IF(C30="","",ROW()-2)</f>
        <v/>
      </c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>
        <f>IF(C31="","",ROW()-2)</f>
        <v/>
      </c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>
        <f>IF(C32="","",ROW()-2)</f>
        <v/>
      </c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>
        <f>IF(C33="","",ROW()-2)</f>
        <v/>
      </c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>
        <f>IF(C34="","",ROW()-2)</f>
        <v/>
      </c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>
        <f>IF(C35="","",ROW()-2)</f>
        <v/>
      </c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>
        <f>IF(C36="","",ROW()-2)</f>
        <v/>
      </c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>
        <f>IF(C37="","",ROW()-2)</f>
        <v/>
      </c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>
        <f>IF(C38="","",ROW()-2)</f>
        <v/>
      </c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>
        <f>IF(C39="","",ROW()-2)</f>
        <v/>
      </c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>
        <f>IF(C40="","",ROW()-2)</f>
        <v/>
      </c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>
        <f>IF(C41="","",ROW()-2)</f>
        <v/>
      </c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>
        <f>IF(C42="","",ROW()-2)</f>
        <v/>
      </c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>
        <f>IF(C43="","",ROW()-2)</f>
        <v/>
      </c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>
        <f>IF(C44="","",ROW()-2)</f>
        <v/>
      </c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>
        <f>IF(C45="","",ROW()-2)</f>
        <v/>
      </c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>
        <f>IF(C46="","",ROW()-2)</f>
        <v/>
      </c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>
        <f>IF(C47="","",ROW()-2)</f>
        <v/>
      </c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>
        <f>IF(C48="","",ROW()-2)</f>
        <v/>
      </c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>
        <f>IF(C49="","",ROW()-2)</f>
        <v/>
      </c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>
        <f>IF(C50="","",ROW()-2)</f>
        <v/>
      </c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>
        <f>IF(C51="","",ROW()-2)</f>
        <v/>
      </c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>
        <f>IF(C52="","",ROW()-2)</f>
        <v/>
      </c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>
        <f>IF(C53="","",ROW()-2)</f>
        <v/>
      </c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>
        <f>IF(C54="","",ROW()-2)</f>
        <v/>
      </c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>
        <f>IF(C55="","",ROW()-2)</f>
        <v/>
      </c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>
        <f>IF(C56="","",ROW()-2)</f>
        <v/>
      </c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>
        <f>IF(C57="","",ROW()-2)</f>
        <v/>
      </c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>
        <f>IF(C58="","",ROW()-2)</f>
        <v/>
      </c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>
        <f>IF(C59="","",ROW()-2)</f>
        <v/>
      </c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>
        <f>IF(C60="","",ROW()-2)</f>
        <v/>
      </c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>
        <f>IF(C61="","",ROW()-2)</f>
        <v/>
      </c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>
        <f>IF(C62="","",ROW()-2)</f>
        <v/>
      </c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>
        <f>IF(C63="","",ROW()-2)</f>
        <v/>
      </c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>
        <f>IF(C64="","",ROW()-2)</f>
        <v/>
      </c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>
        <f>IF(C65="","",ROW()-2)</f>
        <v/>
      </c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>
        <f>IF(C66="","",ROW()-2)</f>
        <v/>
      </c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>
        <f>IF(C67="","",ROW()-2)</f>
        <v/>
      </c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>
        <f>IF(C68="","",ROW()-2)</f>
        <v/>
      </c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>
        <f>IF(C69="","",ROW()-2)</f>
        <v/>
      </c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>
        <f>IF(C70="","",ROW()-2)</f>
        <v/>
      </c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>
        <f>IF(C71="","",ROW()-2)</f>
        <v/>
      </c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>
        <f>IF(C72="","",ROW()-2)</f>
        <v/>
      </c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>
        <f>IF(C73="","",ROW()-2)</f>
        <v/>
      </c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>
        <f>IF(C74="","",ROW()-2)</f>
        <v/>
      </c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>
        <f>IF(C75="","",ROW()-2)</f>
        <v/>
      </c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>
        <f>IF(C76="","",ROW()-2)</f>
        <v/>
      </c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>
        <f>IF(C77="","",ROW()-2)</f>
        <v/>
      </c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>
        <f>IF(C78="","",ROW()-2)</f>
        <v/>
      </c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>
        <f>IF(C79="","",ROW()-2)</f>
        <v/>
      </c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>
        <f>IF(C80="","",ROW()-2)</f>
        <v/>
      </c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>
        <f>IF(C81="","",ROW()-2)</f>
        <v/>
      </c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>
        <f>IF(C82="","",ROW()-2)</f>
        <v/>
      </c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>
        <f>IF(C83="","",ROW()-2)</f>
        <v/>
      </c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>
        <f>IF(C84="","",ROW()-2)</f>
        <v/>
      </c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>
        <f>IF(C85="","",ROW()-2)</f>
        <v/>
      </c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>
        <f>IF(C86="","",ROW()-2)</f>
        <v/>
      </c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>
        <f>IF(C87="","",ROW()-2)</f>
        <v/>
      </c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>
        <f>IF(C88="","",ROW()-2)</f>
        <v/>
      </c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>
        <f>IF(C89="","",ROW()-2)</f>
        <v/>
      </c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>
        <f>IF(C90="","",ROW()-2)</f>
        <v/>
      </c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>
        <f>IF(C91="","",ROW()-2)</f>
        <v/>
      </c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>
        <f>IF(C92="","",ROW()-2)</f>
        <v/>
      </c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>
        <f>IF(C93="","",ROW()-2)</f>
        <v/>
      </c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>
        <f>IF(C94="","",ROW()-2)</f>
        <v/>
      </c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>
        <f>IF(C95="","",ROW()-2)</f>
        <v/>
      </c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>
        <f>IF(C96="","",ROW()-2)</f>
        <v/>
      </c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>
        <f>IF(C97="","",ROW()-2)</f>
        <v/>
      </c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>
        <f>IF(C98="","",ROW()-2)</f>
        <v/>
      </c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>
        <f>IF(C99="","",ROW()-2)</f>
        <v/>
      </c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>
        <f>IF(C100="","",ROW()-2)</f>
        <v/>
      </c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>
        <f>IF(C101="","",ROW()-2)</f>
        <v/>
      </c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>
        <f>IF(C102="","",ROW()-2)</f>
        <v/>
      </c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>
        <f>IF(C103="","",ROW()-2)</f>
        <v/>
      </c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>
        <f>IF(C104="","",ROW()-2)</f>
        <v/>
      </c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>
        <f>IF(C105="","",ROW()-2)</f>
        <v/>
      </c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>
        <f>IF(C106="","",ROW()-2)</f>
        <v/>
      </c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>
        <f>IF(C107="","",ROW()-2)</f>
        <v/>
      </c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>
        <f>IF(C108="","",ROW()-2)</f>
        <v/>
      </c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>
        <f>IF(C109="","",ROW()-2)</f>
        <v/>
      </c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>
        <f>IF(C110="","",ROW()-2)</f>
        <v/>
      </c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>
        <f>IF(C111="","",ROW()-2)</f>
        <v/>
      </c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>
        <f>IF(C112="","",ROW()-2)</f>
        <v/>
      </c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>
        <f>IF(C113="","",ROW()-2)</f>
        <v/>
      </c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>
        <f>IF(C114="","",ROW()-2)</f>
        <v/>
      </c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>
        <f>IF(C115="","",ROW()-2)</f>
        <v/>
      </c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>
        <f>IF(C116="","",ROW()-2)</f>
        <v/>
      </c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>
        <f>IF(C117="","",ROW()-2)</f>
        <v/>
      </c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>
        <f>IF(C118="","",ROW()-2)</f>
        <v/>
      </c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>
        <f>IF(C119="","",ROW()-2)</f>
        <v/>
      </c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>
        <f>IF(C120="","",ROW()-2)</f>
        <v/>
      </c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>
        <f>IF(C121="","",ROW()-2)</f>
        <v/>
      </c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>
        <f>IF(C122="","",ROW()-2)</f>
        <v/>
      </c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>
        <f>IF(C123="","",ROW()-2)</f>
        <v/>
      </c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>
        <f>IF(C124="","",ROW()-2)</f>
        <v/>
      </c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>
        <f>IF(C125="","",ROW()-2)</f>
        <v/>
      </c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>
        <f>IF(C126="","",ROW()-2)</f>
        <v/>
      </c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>
        <f>IF(C127="","",ROW()-2)</f>
        <v/>
      </c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>
        <f>IF(C128="","",ROW()-2)</f>
        <v/>
      </c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>
        <f>IF(C129="","",ROW()-2)</f>
        <v/>
      </c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>
        <f>IF(C130="","",ROW()-2)</f>
        <v/>
      </c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>
        <f>IF(C131="","",ROW()-2)</f>
        <v/>
      </c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>
        <f>IF(C132="","",ROW()-2)</f>
        <v/>
      </c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>
        <f>IF(C133="","",ROW()-2)</f>
        <v/>
      </c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>
        <f>IF(C134="","",ROW()-2)</f>
        <v/>
      </c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>
        <f>IF(C135="","",ROW()-2)</f>
        <v/>
      </c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>
        <f>IF(C136="","",ROW()-2)</f>
        <v/>
      </c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>
        <f>IF(C137="","",ROW()-2)</f>
        <v/>
      </c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>
        <f>IF(C138="","",ROW()-2)</f>
        <v/>
      </c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>
        <f>IF(C139="","",ROW()-2)</f>
        <v/>
      </c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>
        <f>IF(C140="","",ROW()-2)</f>
        <v/>
      </c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>
        <f>IF(C141="","",ROW()-2)</f>
        <v/>
      </c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>
        <f>IF(C142="","",ROW()-2)</f>
        <v/>
      </c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>
        <f>IF(C143="","",ROW()-2)</f>
        <v/>
      </c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>
        <f>IF(C144="","",ROW()-2)</f>
        <v/>
      </c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>
        <f>IF(C145="","",ROW()-2)</f>
        <v/>
      </c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>
        <f>IF(C146="","",ROW()-2)</f>
        <v/>
      </c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>
        <f>IF(C147="","",ROW()-2)</f>
        <v/>
      </c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>
        <f>IF(C148="","",ROW()-2)</f>
        <v/>
      </c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>
        <f>IF(C149="","",ROW()-2)</f>
        <v/>
      </c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>
        <f>IF(C150="","",ROW()-2)</f>
        <v/>
      </c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>
        <f>IF(C151="","",ROW()-2)</f>
        <v/>
      </c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>
        <f>IF(C152="","",ROW()-2)</f>
        <v/>
      </c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>
        <f>IF(C153="","",ROW()-2)</f>
        <v/>
      </c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>
        <f>IF(C154="","",ROW()-2)</f>
        <v/>
      </c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>
        <f>IF(C155="","",ROW()-2)</f>
        <v/>
      </c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>
        <f>IF(C156="","",ROW()-2)</f>
        <v/>
      </c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>
        <f>IF(C157="","",ROW()-2)</f>
        <v/>
      </c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>
        <f>IF(C158="","",ROW()-2)</f>
        <v/>
      </c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>
        <f>IF(C159="","",ROW()-2)</f>
        <v/>
      </c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>
        <f>IF(C160="","",ROW()-2)</f>
        <v/>
      </c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>
        <f>IF(C161="","",ROW()-2)</f>
        <v/>
      </c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>
        <f>IF(C162="","",ROW()-2)</f>
        <v/>
      </c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>
        <f>IF(C163="","",ROW()-2)</f>
        <v/>
      </c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>
        <f>IF(C164="","",ROW()-2)</f>
        <v/>
      </c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>
        <f>IF(C165="","",ROW()-2)</f>
        <v/>
      </c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>
        <f>IF(C166="","",ROW()-2)</f>
        <v/>
      </c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>
        <f>IF(C167="","",ROW()-2)</f>
        <v/>
      </c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>
        <f>IF(C168="","",ROW()-2)</f>
        <v/>
      </c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>
        <f>IF(C169="","",ROW()-2)</f>
        <v/>
      </c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>
        <f>IF(C170="","",ROW()-2)</f>
        <v/>
      </c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>
        <f>IF(C171="","",ROW()-2)</f>
        <v/>
      </c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>
        <f>IF(C172="","",ROW()-2)</f>
        <v/>
      </c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>
        <f>IF(C173="","",ROW()-2)</f>
        <v/>
      </c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>
        <f>IF(C174="","",ROW()-2)</f>
        <v/>
      </c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>
        <f>IF(C175="","",ROW()-2)</f>
        <v/>
      </c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>
        <f>IF(C176="","",ROW()-2)</f>
        <v/>
      </c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>
        <f>IF(C177="","",ROW()-2)</f>
        <v/>
      </c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>
        <f>IF(C178="","",ROW()-2)</f>
        <v/>
      </c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>
        <f>IF(C179="","",ROW()-2)</f>
        <v/>
      </c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>
        <f>IF(C180="","",ROW()-2)</f>
        <v/>
      </c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>
        <f>IF(C181="","",ROW()-2)</f>
        <v/>
      </c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>
        <f>IF(C182="","",ROW()-2)</f>
        <v/>
      </c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>
        <f>IF(C183="","",ROW()-2)</f>
        <v/>
      </c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>
        <f>IF(C184="","",ROW()-2)</f>
        <v/>
      </c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>
        <f>IF(C185="","",ROW()-2)</f>
        <v/>
      </c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>
        <f>IF(C186="","",ROW()-2)</f>
        <v/>
      </c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>
        <f>IF(C187="","",ROW()-2)</f>
        <v/>
      </c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>
        <f>IF(C188="","",ROW()-2)</f>
        <v/>
      </c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>
        <f>IF(C189="","",ROW()-2)</f>
        <v/>
      </c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>
        <f>IF(C190="","",ROW()-2)</f>
        <v/>
      </c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>
        <f>IF(C191="","",ROW()-2)</f>
        <v/>
      </c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>
        <f>IF(C192="","",ROW()-2)</f>
        <v/>
      </c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>
        <f>IF(C193="","",ROW()-2)</f>
        <v/>
      </c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>
        <f>IF(C194="","",ROW()-2)</f>
        <v/>
      </c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>
        <f>IF(C195="","",ROW()-2)</f>
        <v/>
      </c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>
        <f>IF(C196="","",ROW()-2)</f>
        <v/>
      </c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>
        <f>IF(C197="","",ROW()-2)</f>
        <v/>
      </c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>
        <f>IF(C198="","",ROW()-2)</f>
        <v/>
      </c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>
        <f>IF(C199="","",ROW()-2)</f>
        <v/>
      </c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>
        <f>IF(C200="","",ROW()-2)</f>
        <v/>
      </c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>
        <f>IF(C201="","",ROW()-2)</f>
        <v/>
      </c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>
        <f>IF(C202="","",ROW()-2)</f>
        <v/>
      </c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>
        <f>IF(C203="","",ROW()-2)</f>
        <v/>
      </c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>
        <f>IF(C204="","",ROW()-2)</f>
        <v/>
      </c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>
        <f>IF(C205="","",ROW()-2)</f>
        <v/>
      </c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>
        <f>IF(C206="","",ROW()-2)</f>
        <v/>
      </c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>
        <f>IF(C207="","",ROW()-2)</f>
        <v/>
      </c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>
        <f>IF(C208="","",ROW()-2)</f>
        <v/>
      </c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>
        <f>IF(C209="","",ROW()-2)</f>
        <v/>
      </c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>
        <f>IF(C210="","",ROW()-2)</f>
        <v/>
      </c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>
        <f>IF(C211="","",ROW()-2)</f>
        <v/>
      </c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>
        <f>IF(C212="","",ROW()-2)</f>
        <v/>
      </c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>
        <f>IF(C213="","",ROW()-2)</f>
        <v/>
      </c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>
        <f>IF(C214="","",ROW()-2)</f>
        <v/>
      </c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>
        <f>IF(C215="","",ROW()-2)</f>
        <v/>
      </c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>
        <f>IF(C216="","",ROW()-2)</f>
        <v/>
      </c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>
        <f>IF(C217="","",ROW()-2)</f>
        <v/>
      </c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>
        <f>IF(C218="","",ROW()-2)</f>
        <v/>
      </c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>
        <f>IF(C219="","",ROW()-2)</f>
        <v/>
      </c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>
        <f>IF(C220="","",ROW()-2)</f>
        <v/>
      </c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>
        <f>IF(C221="","",ROW()-2)</f>
        <v/>
      </c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>
        <f>IF(C222="","",ROW()-2)</f>
        <v/>
      </c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>
        <f>IF(C223="","",ROW()-2)</f>
        <v/>
      </c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>
        <f>IF(C224="","",ROW()-2)</f>
        <v/>
      </c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>
        <f>IF(C225="","",ROW()-2)</f>
        <v/>
      </c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>
        <f>IF(C226="","",ROW()-2)</f>
        <v/>
      </c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>
        <f>IF(C227="","",ROW()-2)</f>
        <v/>
      </c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>
        <f>IF(C228="","",ROW()-2)</f>
        <v/>
      </c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>
        <f>IF(C229="","",ROW()-2)</f>
        <v/>
      </c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>
        <f>IF(C230="","",ROW()-2)</f>
        <v/>
      </c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>
        <f>IF(C231="","",ROW()-2)</f>
        <v/>
      </c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>
        <f>IF(C232="","",ROW()-2)</f>
        <v/>
      </c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>
        <f>IF(C233="","",ROW()-2)</f>
        <v/>
      </c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>
        <f>IF(C234="","",ROW()-2)</f>
        <v/>
      </c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>
        <f>IF(C235="","",ROW()-2)</f>
        <v/>
      </c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>
        <f>IF(C236="","",ROW()-2)</f>
        <v/>
      </c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>
        <f>IF(C237="","",ROW()-2)</f>
        <v/>
      </c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>
        <f>IF(C238="","",ROW()-2)</f>
        <v/>
      </c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>
        <f>IF(C239="","",ROW()-2)</f>
        <v/>
      </c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>
        <f>IF(C240="","",ROW()-2)</f>
        <v/>
      </c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>
        <f>IF(C241="","",ROW()-2)</f>
        <v/>
      </c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>
        <f>IF(C242="","",ROW()-2)</f>
        <v/>
      </c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>
        <f>IF(C243="","",ROW()-2)</f>
        <v/>
      </c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>
        <f>IF(C244="","",ROW()-2)</f>
        <v/>
      </c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>
        <f>IF(C245="","",ROW()-2)</f>
        <v/>
      </c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>
        <f>IF(C246="","",ROW()-2)</f>
        <v/>
      </c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>
        <f>IF(C247="","",ROW()-2)</f>
        <v/>
      </c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>
        <f>IF(C248="","",ROW()-2)</f>
        <v/>
      </c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>
        <f>IF(C249="","",ROW()-2)</f>
        <v/>
      </c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>
        <f>IF(C250="","",ROW()-2)</f>
        <v/>
      </c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>
        <f>IF(C251="","",ROW()-2)</f>
        <v/>
      </c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>
        <f>IF(C252="","",ROW()-2)</f>
        <v/>
      </c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>
        <f>IF(C253="","",ROW()-2)</f>
        <v/>
      </c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>
        <f>IF(C254="","",ROW()-2)</f>
        <v/>
      </c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>
        <f>IF(C255="","",ROW()-2)</f>
        <v/>
      </c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>
        <f>IF(C256="","",ROW()-2)</f>
        <v/>
      </c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>
        <f>IF(C257="","",ROW()-2)</f>
        <v/>
      </c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>
        <f>IF(C258="","",ROW()-2)</f>
        <v/>
      </c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>
        <f>IF(C259="","",ROW()-2)</f>
        <v/>
      </c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>
        <f>IF(C260="","",ROW()-2)</f>
        <v/>
      </c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>
        <f>IF(C261="","",ROW()-2)</f>
        <v/>
      </c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>
        <f>IF(C262="","",ROW()-2)</f>
        <v/>
      </c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>
        <f>IF(C263="","",ROW()-2)</f>
        <v/>
      </c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>
        <f>IF(C264="","",ROW()-2)</f>
        <v/>
      </c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>
        <f>IF(C265="","",ROW()-2)</f>
        <v/>
      </c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>
        <f>IF(C266="","",ROW()-2)</f>
        <v/>
      </c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>
        <f>IF(C267="","",ROW()-2)</f>
        <v/>
      </c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>
        <f>IF(C268="","",ROW()-2)</f>
        <v/>
      </c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>
        <f>IF(C269="","",ROW()-2)</f>
        <v/>
      </c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>
        <f>IF(C270="","",ROW()-2)</f>
        <v/>
      </c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>
        <f>IF(C271="","",ROW()-2)</f>
        <v/>
      </c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>
        <f>IF(C272="","",ROW()-2)</f>
        <v/>
      </c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>
        <f>IF(C273="","",ROW()-2)</f>
        <v/>
      </c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>
        <f>IF(C274="","",ROW()-2)</f>
        <v/>
      </c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>
        <f>IF(C275="","",ROW()-2)</f>
        <v/>
      </c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>
        <f>IF(C276="","",ROW()-2)</f>
        <v/>
      </c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>
        <f>IF(C277="","",ROW()-2)</f>
        <v/>
      </c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>
        <f>IF(C278="","",ROW()-2)</f>
        <v/>
      </c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>
        <f>IF(C279="","",ROW()-2)</f>
        <v/>
      </c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>
        <f>IF(C280="","",ROW()-2)</f>
        <v/>
      </c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>
        <f>IF(C281="","",ROW()-2)</f>
        <v/>
      </c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>
        <f>IF(C282="","",ROW()-2)</f>
        <v/>
      </c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>
        <f>IF(C283="","",ROW()-2)</f>
        <v/>
      </c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>
        <f>IF(C284="","",ROW()-2)</f>
        <v/>
      </c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>
        <f>IF(C285="","",ROW()-2)</f>
        <v/>
      </c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>
        <f>IF(C286="","",ROW()-2)</f>
        <v/>
      </c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>
        <f>IF(C287="","",ROW()-2)</f>
        <v/>
      </c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>
        <f>IF(C288="","",ROW()-2)</f>
        <v/>
      </c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>
        <f>IF(C289="","",ROW()-2)</f>
        <v/>
      </c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>
        <f>IF(C290="","",ROW()-2)</f>
        <v/>
      </c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>
        <f>IF(C291="","",ROW()-2)</f>
        <v/>
      </c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>
        <f>IF(C292="","",ROW()-2)</f>
        <v/>
      </c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>
        <f>IF(C293="","",ROW()-2)</f>
        <v/>
      </c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>
        <f>IF(C294="","",ROW()-2)</f>
        <v/>
      </c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>
        <f>IF(C295="","",ROW()-2)</f>
        <v/>
      </c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>
        <f>IF(C296="","",ROW()-2)</f>
        <v/>
      </c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>
        <f>IF(C297="","",ROW()-2)</f>
        <v/>
      </c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>
        <f>IF(C298="","",ROW()-2)</f>
        <v/>
      </c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>
        <f>IF(C299="","",ROW()-2)</f>
        <v/>
      </c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>
        <f>IF(C300="","",ROW()-2)</f>
        <v/>
      </c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>
        <f>IF(C301="","",ROW()-2)</f>
        <v/>
      </c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>
        <f>IF(C302="","",ROW()-2)</f>
        <v/>
      </c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>
        <f>IF(C303="","",ROW()-2)</f>
        <v/>
      </c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>
        <f>IF(C304="","",ROW()-2)</f>
        <v/>
      </c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>
        <f>IF(C305="","",ROW()-2)</f>
        <v/>
      </c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>
        <f>IF(C306="","",ROW()-2)</f>
        <v/>
      </c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>
        <f>IF(C307="","",ROW()-2)</f>
        <v/>
      </c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>
        <f>IF(C308="","",ROW()-2)</f>
        <v/>
      </c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>
        <f>IF(C309="","",ROW()-2)</f>
        <v/>
      </c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>
        <f>IF(C310="","",ROW()-2)</f>
        <v/>
      </c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>
        <f>IF(C311="","",ROW()-2)</f>
        <v/>
      </c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>
        <f>IF(C312="","",ROW()-2)</f>
        <v/>
      </c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>
        <f>IF(C313="","",ROW()-2)</f>
        <v/>
      </c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>
        <f>IF(C314="","",ROW()-2)</f>
        <v/>
      </c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>
        <f>IF(C315="","",ROW()-2)</f>
        <v/>
      </c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>
        <f>IF(C316="","",ROW()-2)</f>
        <v/>
      </c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>
        <f>IF(C317="","",ROW()-2)</f>
        <v/>
      </c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>
        <f>IF(C318="","",ROW()-2)</f>
        <v/>
      </c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>
        <f>IF(C319="","",ROW()-2)</f>
        <v/>
      </c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>
        <f>IF(C320="","",ROW()-2)</f>
        <v/>
      </c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>
        <f>IF(C321="","",ROW()-2)</f>
        <v/>
      </c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>
        <f>IF(C322="","",ROW()-2)</f>
        <v/>
      </c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>
        <f>IF(C323="","",ROW()-2)</f>
        <v/>
      </c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>
        <f>IF(C324="","",ROW()-2)</f>
        <v/>
      </c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>
        <f>IF(C325="","",ROW()-2)</f>
        <v/>
      </c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>
        <f>IF(C326="","",ROW()-2)</f>
        <v/>
      </c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>
        <f>IF(C327="","",ROW()-2)</f>
        <v/>
      </c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>
        <f>IF(C328="","",ROW()-2)</f>
        <v/>
      </c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>
        <f>IF(C329="","",ROW()-2)</f>
        <v/>
      </c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>
        <f>IF(C330="","",ROW()-2)</f>
        <v/>
      </c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>
        <f>IF(C331="","",ROW()-2)</f>
        <v/>
      </c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>
        <f>IF(C332="","",ROW()-2)</f>
        <v/>
      </c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>
        <f>IF(C333="","",ROW()-2)</f>
        <v/>
      </c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>
        <f>IF(C334="","",ROW()-2)</f>
        <v/>
      </c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>
        <f>IF(C335="","",ROW()-2)</f>
        <v/>
      </c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>
        <f>IF(C336="","",ROW()-2)</f>
        <v/>
      </c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>
        <f>IF(C337="","",ROW()-2)</f>
        <v/>
      </c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>
        <f>IF(C338="","",ROW()-2)</f>
        <v/>
      </c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>
        <f>IF(C339="","",ROW()-2)</f>
        <v/>
      </c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>
        <f>IF(C340="","",ROW()-2)</f>
        <v/>
      </c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>
        <f>IF(C341="","",ROW()-2)</f>
        <v/>
      </c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>
        <f>IF(C342="","",ROW()-2)</f>
        <v/>
      </c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>
        <f>IF(C343="","",ROW()-2)</f>
        <v/>
      </c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>
        <f>IF(C344="","",ROW()-2)</f>
        <v/>
      </c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>
        <f>IF(C345="","",ROW()-2)</f>
        <v/>
      </c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>
        <f>IF(C346="","",ROW()-2)</f>
        <v/>
      </c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>
        <f>IF(C347="","",ROW()-2)</f>
        <v/>
      </c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>
        <f>IF(C348="","",ROW()-2)</f>
        <v/>
      </c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>
        <f>IF(C349="","",ROW()-2)</f>
        <v/>
      </c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>
        <f>IF(C350="","",ROW()-2)</f>
        <v/>
      </c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>
        <f>IF(C351="","",ROW()-2)</f>
        <v/>
      </c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>
        <f>IF(C352="","",ROW()-2)</f>
        <v/>
      </c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>
        <f>IF(C353="","",ROW()-2)</f>
        <v/>
      </c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>
        <f>IF(C354="","",ROW()-2)</f>
        <v/>
      </c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>
        <f>IF(C355="","",ROW()-2)</f>
        <v/>
      </c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>
        <f>IF(C356="","",ROW()-2)</f>
        <v/>
      </c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>
        <f>IF(C357="","",ROW()-2)</f>
        <v/>
      </c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>
        <f>IF(C358="","",ROW()-2)</f>
        <v/>
      </c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>
        <f>IF(C359="","",ROW()-2)</f>
        <v/>
      </c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>
        <f>IF(C360="","",ROW()-2)</f>
        <v/>
      </c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>
        <f>IF(C361="","",ROW()-2)</f>
        <v/>
      </c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>
        <f>IF(C362="","",ROW()-2)</f>
        <v/>
      </c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>
        <f>IF(C363="","",ROW()-2)</f>
        <v/>
      </c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>
        <f>IF(C364="","",ROW()-2)</f>
        <v/>
      </c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>
        <f>IF(C365="","",ROW()-2)</f>
        <v/>
      </c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>
        <f>IF(C366="","",ROW()-2)</f>
        <v/>
      </c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>
        <f>IF(C367="","",ROW()-2)</f>
        <v/>
      </c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>
        <f>IF(C368="","",ROW()-2)</f>
        <v/>
      </c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>
        <f>IF(C369="","",ROW()-2)</f>
        <v/>
      </c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>
        <f>IF(C370="","",ROW()-2)</f>
        <v/>
      </c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>
        <f>IF(C371="","",ROW()-2)</f>
        <v/>
      </c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>
        <f>IF(C372="","",ROW()-2)</f>
        <v/>
      </c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>
        <f>IF(C373="","",ROW()-2)</f>
        <v/>
      </c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>
        <f>IF(C374="","",ROW()-2)</f>
        <v/>
      </c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>
        <f>IF(C375="","",ROW()-2)</f>
        <v/>
      </c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>
        <f>IF(C376="","",ROW()-2)</f>
        <v/>
      </c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>
        <f>IF(C377="","",ROW()-2)</f>
        <v/>
      </c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>
        <f>IF(C378="","",ROW()-2)</f>
        <v/>
      </c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>
        <f>IF(C379="","",ROW()-2)</f>
        <v/>
      </c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>
        <f>IF(C380="","",ROW()-2)</f>
        <v/>
      </c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>
        <f>IF(C381="","",ROW()-2)</f>
        <v/>
      </c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>
        <f>IF(C382="","",ROW()-2)</f>
        <v/>
      </c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>
        <f>IF(C383="","",ROW()-2)</f>
        <v/>
      </c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>
        <f>IF(C384="","",ROW()-2)</f>
        <v/>
      </c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>
        <f>IF(C385="","",ROW()-2)</f>
        <v/>
      </c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>
        <f>IF(C386="","",ROW()-2)</f>
        <v/>
      </c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>
        <f>IF(C387="","",ROW()-2)</f>
        <v/>
      </c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>
        <f>IF(C388="","",ROW()-2)</f>
        <v/>
      </c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>
        <f>IF(C389="","",ROW()-2)</f>
        <v/>
      </c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>
        <f>IF(C390="","",ROW()-2)</f>
        <v/>
      </c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>
        <f>IF(C391="","",ROW()-2)</f>
        <v/>
      </c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>
        <f>IF(C392="","",ROW()-2)</f>
        <v/>
      </c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>
        <f>IF(C393="","",ROW()-2)</f>
        <v/>
      </c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>
        <f>IF(C394="","",ROW()-2)</f>
        <v/>
      </c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>
        <f>IF(C395="","",ROW()-2)</f>
        <v/>
      </c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>
        <f>IF(C396="","",ROW()-2)</f>
        <v/>
      </c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>
        <f>IF(C397="","",ROW()-2)</f>
        <v/>
      </c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>
        <f>IF(C398="","",ROW()-2)</f>
        <v/>
      </c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>
        <f>IF(C399="","",ROW()-2)</f>
        <v/>
      </c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>
        <f>IF(C400="","",ROW()-2)</f>
        <v/>
      </c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>
        <f>IF(C401="","",ROW()-2)</f>
        <v/>
      </c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>
        <f>IF(C402="","",ROW()-2)</f>
        <v/>
      </c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>
        <f>IF(C403="","",ROW()-2)</f>
        <v/>
      </c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>
        <f>IF(C404="","",ROW()-2)</f>
        <v/>
      </c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>
        <f>IF(C405="","",ROW()-2)</f>
        <v/>
      </c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>
        <f>IF(C406="","",ROW()-2)</f>
        <v/>
      </c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>
        <f>IF(C407="","",ROW()-2)</f>
        <v/>
      </c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>
        <f>IF(C408="","",ROW()-2)</f>
        <v/>
      </c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>
        <f>IF(C409="","",ROW()-2)</f>
        <v/>
      </c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>
        <f>IF(C410="","",ROW()-2)</f>
        <v/>
      </c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>
        <f>IF(C411="","",ROW()-2)</f>
        <v/>
      </c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>
        <f>IF(C412="","",ROW()-2)</f>
        <v/>
      </c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>
        <f>IF(C413="","",ROW()-2)</f>
        <v/>
      </c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>
        <f>IF(C414="","",ROW()-2)</f>
        <v/>
      </c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>
        <f>IF(C415="","",ROW()-2)</f>
        <v/>
      </c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>
        <f>IF(C416="","",ROW()-2)</f>
        <v/>
      </c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>
        <f>IF(C417="","",ROW()-2)</f>
        <v/>
      </c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>
        <f>IF(C418="","",ROW()-2)</f>
        <v/>
      </c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>
        <f>IF(C419="","",ROW()-2)</f>
        <v/>
      </c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>
        <f>IF(C420="","",ROW()-2)</f>
        <v/>
      </c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>
        <f>IF(C421="","",ROW()-2)</f>
        <v/>
      </c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>
        <f>IF(C422="","",ROW()-2)</f>
        <v/>
      </c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>
        <f>IF(C423="","",ROW()-2)</f>
        <v/>
      </c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>
        <f>IF(C424="","",ROW()-2)</f>
        <v/>
      </c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>
        <f>IF(C425="","",ROW()-2)</f>
        <v/>
      </c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>
        <f>IF(C426="","",ROW()-2)</f>
        <v/>
      </c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>
        <f>IF(C427="","",ROW()-2)</f>
        <v/>
      </c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>
        <f>IF(C428="","",ROW()-2)</f>
        <v/>
      </c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>
        <f>IF(C429="","",ROW()-2)</f>
        <v/>
      </c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>
        <f>IF(C430="","",ROW()-2)</f>
        <v/>
      </c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>
        <f>IF(C431="","",ROW()-2)</f>
        <v/>
      </c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>
        <f>IF(C432="","",ROW()-2)</f>
        <v/>
      </c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>
        <f>IF(C433="","",ROW()-2)</f>
        <v/>
      </c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>
        <f>IF(C434="","",ROW()-2)</f>
        <v/>
      </c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>
        <f>IF(C435="","",ROW()-2)</f>
        <v/>
      </c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>
        <f>IF(C436="","",ROW()-2)</f>
        <v/>
      </c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>
        <f>IF(C437="","",ROW()-2)</f>
        <v/>
      </c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>
        <f>IF(C438="","",ROW()-2)</f>
        <v/>
      </c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>
        <f>IF(C439="","",ROW()-2)</f>
        <v/>
      </c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>
        <f>IF(C440="","",ROW()-2)</f>
        <v/>
      </c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>
        <f>IF(C441="","",ROW()-2)</f>
        <v/>
      </c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>
        <f>IF(C442="","",ROW()-2)</f>
        <v/>
      </c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>
        <f>IF(C443="","",ROW()-2)</f>
        <v/>
      </c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>
        <f>IF(C444="","",ROW()-2)</f>
        <v/>
      </c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>
        <f>IF(C445="","",ROW()-2)</f>
        <v/>
      </c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>
        <f>IF(C446="","",ROW()-2)</f>
        <v/>
      </c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>
        <f>IF(C447="","",ROW()-2)</f>
        <v/>
      </c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>
        <f>IF(C448="","",ROW()-2)</f>
        <v/>
      </c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>
        <f>IF(C449="","",ROW()-2)</f>
        <v/>
      </c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>
        <f>IF(C450="","",ROW()-2)</f>
        <v/>
      </c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>
        <f>IF(C451="","",ROW()-2)</f>
        <v/>
      </c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>
        <f>IF(C452="","",ROW()-2)</f>
        <v/>
      </c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>
        <f>IF(C453="","",ROW()-2)</f>
        <v/>
      </c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>
        <f>IF(C454="","",ROW()-2)</f>
        <v/>
      </c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>
        <f>IF(C455="","",ROW()-2)</f>
        <v/>
      </c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>
        <f>IF(C456="","",ROW()-2)</f>
        <v/>
      </c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>
        <f>IF(C457="","",ROW()-2)</f>
        <v/>
      </c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>
        <f>IF(C458="","",ROW()-2)</f>
        <v/>
      </c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>
        <f>IF(C459="","",ROW()-2)</f>
        <v/>
      </c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>
        <f>IF(C460="","",ROW()-2)</f>
        <v/>
      </c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>
        <f>IF(C461="","",ROW()-2)</f>
        <v/>
      </c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>
        <f>IF(C462="","",ROW()-2)</f>
        <v/>
      </c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>
        <f>IF(C463="","",ROW()-2)</f>
        <v/>
      </c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>
        <f>IF(C464="","",ROW()-2)</f>
        <v/>
      </c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>
        <f>IF(C465="","",ROW()-2)</f>
        <v/>
      </c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>
        <f>IF(C466="","",ROW()-2)</f>
        <v/>
      </c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>
        <f>IF(C467="","",ROW()-2)</f>
        <v/>
      </c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>
        <f>IF(C468="","",ROW()-2)</f>
        <v/>
      </c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>
        <f>IF(C469="","",ROW()-2)</f>
        <v/>
      </c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>
        <f>IF(C470="","",ROW()-2)</f>
        <v/>
      </c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>
        <f>IF(C471="","",ROW()-2)</f>
        <v/>
      </c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>
        <f>IF(C472="","",ROW()-2)</f>
        <v/>
      </c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>
        <f>IF(C473="","",ROW()-2)</f>
        <v/>
      </c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>
        <f>IF(C474="","",ROW()-2)</f>
        <v/>
      </c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>
        <f>IF(C475="","",ROW()-2)</f>
        <v/>
      </c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>
        <f>IF(C476="","",ROW()-2)</f>
        <v/>
      </c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>
        <f>IF(C477="","",ROW()-2)</f>
        <v/>
      </c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>
        <f>IF(C478="","",ROW()-2)</f>
        <v/>
      </c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>
        <f>IF(C479="","",ROW()-2)</f>
        <v/>
      </c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>
        <f>IF(C480="","",ROW()-2)</f>
        <v/>
      </c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>
        <f>IF(C481="","",ROW()-2)</f>
        <v/>
      </c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>
        <f>IF(C482="","",ROW()-2)</f>
        <v/>
      </c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>
        <f>IF(C483="","",ROW()-2)</f>
        <v/>
      </c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>
        <f>IF(C484="","",ROW()-2)</f>
        <v/>
      </c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>
        <f>IF(C485="","",ROW()-2)</f>
        <v/>
      </c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>
        <f>IF(C486="","",ROW()-2)</f>
        <v/>
      </c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>
        <f>IF(C487="","",ROW()-2)</f>
        <v/>
      </c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>
        <f>IF(C488="","",ROW()-2)</f>
        <v/>
      </c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>
        <f>IF(C489="","",ROW()-2)</f>
        <v/>
      </c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>
        <f>IF(C490="","",ROW()-2)</f>
        <v/>
      </c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>
        <f>IF(C491="","",ROW()-2)</f>
        <v/>
      </c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>
        <f>IF(C492="","",ROW()-2)</f>
        <v/>
      </c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>
        <f>IF(C493="","",ROW()-2)</f>
        <v/>
      </c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>
        <f>IF(C494="","",ROW()-2)</f>
        <v/>
      </c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>
        <f>IF(C495="","",ROW()-2)</f>
        <v/>
      </c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>
        <f>IF(C496="","",ROW()-2)</f>
        <v/>
      </c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>
        <f>IF(C497="","",ROW()-2)</f>
        <v/>
      </c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>
        <f>IF(C498="","",ROW()-2)</f>
        <v/>
      </c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>
        <f>IF(C499="","",ROW()-2)</f>
        <v/>
      </c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>
        <f>IF(C500="","",ROW()-2)</f>
        <v/>
      </c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>
        <f>IF(C501="","",ROW()-2)</f>
        <v/>
      </c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>
        <f>IF(C502="","",ROW()-2)</f>
        <v/>
      </c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3">
    <mergeCell ref="A504:F504"/>
    <mergeCell ref="A1:J1"/>
    <mergeCell ref="H504:J5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>
        <f>COUNTIFS('🛒购买记录明细'!C3:C502,"&gt;="&amp;DATE(2026,1,1),'🛒购买记录明细'!C3:C502,"&lt;"&amp;DATE(2026,2,1))</f>
        <v/>
      </c>
      <c r="D3" s="6">
        <f>SUMIFS('🛒购买记录明细'!G3:G502,'🛒购买记录明细'!C3:C502,"&gt;="&amp;DATE(2026,1,1),'🛒购买记录明细'!C3:C502,"&lt;"&amp;DATE(2026,2,1))</f>
        <v/>
      </c>
      <c r="E3" s="6">
        <f>IF(C3=0,0,D3/C3)</f>
        <v/>
      </c>
      <c r="F3" s="11">
        <f>IF(D3=0,0,D3/SUM($D$3:$D$14))</f>
        <v/>
      </c>
    </row>
    <row r="4" ht="22" customHeight="1">
      <c r="A4" s="3" t="n">
        <v>2026</v>
      </c>
      <c r="B4" s="3" t="inlineStr">
        <is>
          <t>02月</t>
        </is>
      </c>
      <c r="C4" s="3">
        <f>COUNTIFS('🛒购买记录明细'!C3:C502,"&gt;="&amp;DATE(2026,2,1),'🛒购买记录明细'!C3:C502,"&lt;"&amp;DATE(2026,3,1))</f>
        <v/>
      </c>
      <c r="D4" s="6">
        <f>SUMIFS('🛒购买记录明细'!G3:G502,'🛒购买记录明细'!C3:C502,"&gt;="&amp;DATE(2026,2,1),'🛒购买记录明细'!C3:C502,"&lt;"&amp;DATE(2026,3,1))</f>
        <v/>
      </c>
      <c r="E4" s="6">
        <f>IF(C4=0,0,D4/C4)</f>
        <v/>
      </c>
      <c r="F4" s="11">
        <f>IF(D4=0,0,D4/SUM($D$3:$D$14))</f>
        <v/>
      </c>
    </row>
    <row r="5" ht="22" customHeight="1">
      <c r="A5" s="3" t="n">
        <v>2026</v>
      </c>
      <c r="B5" s="3" t="inlineStr">
        <is>
          <t>03月</t>
        </is>
      </c>
      <c r="C5" s="3">
        <f>COUNTIFS('🛒购买记录明细'!C3:C502,"&gt;="&amp;DATE(2026,3,1),'🛒购买记录明细'!C3:C502,"&lt;"&amp;DATE(2026,4,1))</f>
        <v/>
      </c>
      <c r="D5" s="6">
        <f>SUMIFS('🛒购买记录明细'!G3:G502,'🛒购买记录明细'!C3:C502,"&gt;="&amp;DATE(2026,3,1),'🛒购买记录明细'!C3:C502,"&lt;"&amp;DATE(2026,4,1))</f>
        <v/>
      </c>
      <c r="E5" s="6">
        <f>IF(C5=0,0,D5/C5)</f>
        <v/>
      </c>
      <c r="F5" s="11">
        <f>IF(D5=0,0,D5/SUM($D$3:$D$14))</f>
        <v/>
      </c>
    </row>
    <row r="6" ht="22" customHeight="1">
      <c r="A6" s="3" t="n">
        <v>2026</v>
      </c>
      <c r="B6" s="3" t="inlineStr">
        <is>
          <t>04月</t>
        </is>
      </c>
      <c r="C6" s="3">
        <f>COUNTIFS('🛒购买记录明细'!C3:C502,"&gt;="&amp;DATE(2026,4,1),'🛒购买记录明细'!C3:C502,"&lt;"&amp;DATE(2026,5,1))</f>
        <v/>
      </c>
      <c r="D6" s="6">
        <f>SUMIFS('🛒购买记录明细'!G3:G502,'🛒购买记录明细'!C3:C502,"&gt;="&amp;DATE(2026,4,1),'🛒购买记录明细'!C3:C502,"&lt;"&amp;DATE(2026,5,1))</f>
        <v/>
      </c>
      <c r="E6" s="6">
        <f>IF(C6=0,0,D6/C6)</f>
        <v/>
      </c>
      <c r="F6" s="11">
        <f>IF(D6=0,0,D6/SUM($D$3:$D$14))</f>
        <v/>
      </c>
    </row>
    <row r="7" ht="22" customHeight="1">
      <c r="A7" s="3" t="n">
        <v>2026</v>
      </c>
      <c r="B7" s="3" t="inlineStr">
        <is>
          <t>05月</t>
        </is>
      </c>
      <c r="C7" s="3">
        <f>COUNTIFS('🛒购买记录明细'!C3:C502,"&gt;="&amp;DATE(2026,5,1),'🛒购买记录明细'!C3:C502,"&lt;"&amp;DATE(2026,6,1))</f>
        <v/>
      </c>
      <c r="D7" s="6">
        <f>SUMIFS('🛒购买记录明细'!G3:G502,'🛒购买记录明细'!C3:C502,"&gt;="&amp;DATE(2026,5,1),'🛒购买记录明细'!C3:C502,"&lt;"&amp;DATE(2026,6,1))</f>
        <v/>
      </c>
      <c r="E7" s="6">
        <f>IF(C7=0,0,D7/C7)</f>
        <v/>
      </c>
      <c r="F7" s="11">
        <f>IF(D7=0,0,D7/SUM($D$3:$D$14))</f>
        <v/>
      </c>
    </row>
    <row r="8" ht="22" customHeight="1">
      <c r="A8" s="3" t="n">
        <v>2026</v>
      </c>
      <c r="B8" s="3" t="inlineStr">
        <is>
          <t>06月</t>
        </is>
      </c>
      <c r="C8" s="3">
        <f>COUNTIFS('🛒购买记录明细'!C3:C502,"&gt;="&amp;DATE(2026,6,1),'🛒购买记录明细'!C3:C502,"&lt;"&amp;DATE(2026,7,1))</f>
        <v/>
      </c>
      <c r="D8" s="6">
        <f>SUMIFS('🛒购买记录明细'!G3:G502,'🛒购买记录明细'!C3:C502,"&gt;="&amp;DATE(2026,6,1),'🛒购买记录明细'!C3:C502,"&lt;"&amp;DATE(2026,7,1))</f>
        <v/>
      </c>
      <c r="E8" s="6">
        <f>IF(C8=0,0,D8/C8)</f>
        <v/>
      </c>
      <c r="F8" s="11">
        <f>IF(D8=0,0,D8/SUM($D$3:$D$14))</f>
        <v/>
      </c>
    </row>
    <row r="9" ht="22" customHeight="1">
      <c r="A9" s="3" t="n">
        <v>2026</v>
      </c>
      <c r="B9" s="3" t="inlineStr">
        <is>
          <t>07月</t>
        </is>
      </c>
      <c r="C9" s="3">
        <f>COUNTIFS('🛒购买记录明细'!C3:C502,"&gt;="&amp;DATE(2026,7,1),'🛒购买记录明细'!C3:C502,"&lt;"&amp;DATE(2026,8,1))</f>
        <v/>
      </c>
      <c r="D9" s="6">
        <f>SUMIFS('🛒购买记录明细'!G3:G502,'🛒购买记录明细'!C3:C502,"&gt;="&amp;DATE(2026,7,1),'🛒购买记录明细'!C3:C502,"&lt;"&amp;DATE(2026,8,1))</f>
        <v/>
      </c>
      <c r="E9" s="6">
        <f>IF(C9=0,0,D9/C9)</f>
        <v/>
      </c>
      <c r="F9" s="11">
        <f>IF(D9=0,0,D9/SUM($D$3:$D$14))</f>
        <v/>
      </c>
    </row>
    <row r="10" ht="22" customHeight="1">
      <c r="A10" s="3" t="n">
        <v>2026</v>
      </c>
      <c r="B10" s="3" t="inlineStr">
        <is>
          <t>08月</t>
        </is>
      </c>
      <c r="C10" s="3">
        <f>COUNTIFS('🛒购买记录明细'!C3:C502,"&gt;="&amp;DATE(2026,8,1),'🛒购买记录明细'!C3:C502,"&lt;"&amp;DATE(2026,9,1))</f>
        <v/>
      </c>
      <c r="D10" s="6">
        <f>SUMIFS('🛒购买记录明细'!G3:G502,'🛒购买记录明细'!C3:C502,"&gt;="&amp;DATE(2026,8,1),'🛒购买记录明细'!C3:C502,"&lt;"&amp;DATE(2026,9,1))</f>
        <v/>
      </c>
      <c r="E10" s="6">
        <f>IF(C10=0,0,D10/C10)</f>
        <v/>
      </c>
      <c r="F10" s="11">
        <f>IF(D10=0,0,D10/SUM($D$3:$D$14))</f>
        <v/>
      </c>
    </row>
    <row r="11" ht="22" customHeight="1">
      <c r="A11" s="3" t="n">
        <v>2026</v>
      </c>
      <c r="B11" s="3" t="inlineStr">
        <is>
          <t>09月</t>
        </is>
      </c>
      <c r="C11" s="3">
        <f>COUNTIFS('🛒购买记录明细'!C3:C502,"&gt;="&amp;DATE(2026,9,1),'🛒购买记录明细'!C3:C502,"&lt;"&amp;DATE(2026,10,1))</f>
        <v/>
      </c>
      <c r="D11" s="6">
        <f>SUMIFS('🛒购买记录明细'!G3:G502,'🛒购买记录明细'!C3:C502,"&gt;="&amp;DATE(2026,9,1),'🛒购买记录明细'!C3:C502,"&lt;"&amp;DATE(2026,10,1))</f>
        <v/>
      </c>
      <c r="E11" s="6">
        <f>IF(C11=0,0,D11/C11)</f>
        <v/>
      </c>
      <c r="F11" s="11">
        <f>IF(D11=0,0,D11/SUM($D$3:$D$14))</f>
        <v/>
      </c>
    </row>
    <row r="12" ht="22" customHeight="1">
      <c r="A12" s="3" t="n">
        <v>2026</v>
      </c>
      <c r="B12" s="3" t="inlineStr">
        <is>
          <t>10月</t>
        </is>
      </c>
      <c r="C12" s="3">
        <f>COUNTIFS('🛒购买记录明细'!C3:C502,"&gt;="&amp;DATE(2026,10,1),'🛒购买记录明细'!C3:C502,"&lt;"&amp;DATE(2026,11,1))</f>
        <v/>
      </c>
      <c r="D12" s="6">
        <f>SUMIFS('🛒购买记录明细'!G3:G502,'🛒购买记录明细'!C3:C502,"&gt;="&amp;DATE(2026,10,1),'🛒购买记录明细'!C3:C502,"&lt;"&amp;DATE(2026,11,1))</f>
        <v/>
      </c>
      <c r="E12" s="6">
        <f>IF(C12=0,0,D12/C12)</f>
        <v/>
      </c>
      <c r="F12" s="11">
        <f>IF(D12=0,0,D12/SUM($D$3:$D$14))</f>
        <v/>
      </c>
    </row>
    <row r="13" ht="22" customHeight="1">
      <c r="A13" s="3" t="n">
        <v>2026</v>
      </c>
      <c r="B13" s="3" t="inlineStr">
        <is>
          <t>11月</t>
        </is>
      </c>
      <c r="C13" s="3">
        <f>COUNTIFS('🛒购买记录明细'!C3:C502,"&gt;="&amp;DATE(2026,11,1),'🛒购买记录明细'!C3:C502,"&lt;"&amp;DATE(2026,12,1))</f>
        <v/>
      </c>
      <c r="D13" s="6">
        <f>SUMIFS('🛒购买记录明细'!G3:G502,'🛒购买记录明细'!C3:C502,"&gt;="&amp;DATE(2026,11,1),'🛒购买记录明细'!C3:C502,"&lt;"&amp;DATE(2026,12,1))</f>
        <v/>
      </c>
      <c r="E13" s="6">
        <f>IF(C13=0,0,D13/C13)</f>
        <v/>
      </c>
      <c r="F13" s="11">
        <f>IF(D13=0,0,D13/SUM($D$3:$D$14))</f>
        <v/>
      </c>
    </row>
    <row r="14" ht="22" customHeight="1">
      <c r="A14" s="3" t="n">
        <v>2026</v>
      </c>
      <c r="B14" s="3" t="inlineStr">
        <is>
          <t>12月</t>
        </is>
      </c>
      <c r="C14" s="3">
        <f>COUNTIFS('🛒购买记录明细'!C3:C502,"&gt;="&amp;DATE(2026,12,1),'🛒购买记录明细'!C3:C502,"&lt;"&amp;DATE(2026,1,1)+365)</f>
        <v/>
      </c>
      <c r="D14" s="6">
        <f>SUMIFS('🛒购买记录明细'!G3:G502,'🛒购买记录明细'!C3:C502,"&gt;="&amp;DATE(2026,12,1),'🛒购买记录明细'!C3:C502,"&lt;"&amp;DATE(2026,1,1)+365)</f>
        <v/>
      </c>
      <c r="E14" s="6">
        <f>IF(C14=0,0,D14/C14)</f>
        <v/>
      </c>
      <c r="F14" s="11">
        <f>IF(D14=0,0,D14/SUM($D$3:$D$14))</f>
        <v/>
      </c>
    </row>
    <row r="15" ht="28" customHeight="1">
      <c r="A15" s="10" t="inlineStr">
        <is>
          <t>📊 合计</t>
        </is>
      </c>
      <c r="B15" s="10" t="n"/>
      <c r="C15" s="10">
        <f>SUM(C3:C14)</f>
        <v/>
      </c>
      <c r="D15" s="9">
        <f>SUM(D3:D14)</f>
        <v/>
      </c>
      <c r="E15" s="9">
        <f>IF(C15=0,0,D15/C15)</f>
        <v/>
      </c>
      <c r="F15" s="10" t="inlineStr">
        <is>
          <t>100.00%</t>
        </is>
      </c>
    </row>
  </sheetData>
  <mergeCells count="2">
    <mergeCell ref="A1:F1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>
        <f>COUNTIFS('🛒购买记录明细'!C3:C502,"&gt;="&amp;DATE(2026,1,1),'🛒购买记录明细'!C3:C502,"&lt;"&amp;DATE(2027,1,1))</f>
        <v/>
      </c>
      <c r="C3" s="6">
        <f>SUMIFS('🛒购买记录明细'!G3:G502,'🛒购买记录明细'!C3:C502,"&gt;="&amp;DATE(2026,1,1),'🛒购买记录明细'!C3:C502,"&lt;"&amp;DATE(2027,1,1))</f>
        <v/>
      </c>
      <c r="D3" s="6">
        <f>IF(B3=0,0,C3/B3)</f>
        <v/>
      </c>
      <c r="E3" s="3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>
        <f>COUNTIFS('🛒购买记录明细'!B3:B502,"抖音",'🛒购买记录明细'!C3:C502,"&gt;="&amp;DATE(2026,1,1),'🛒购买记录明细'!C3:C502,"&lt;"&amp;DATE(2027,1,1))</f>
        <v/>
      </c>
      <c r="C3" s="6">
        <f>SUMIFS('🛒购买记录明细'!G3:G502,'🛒购买记录明细'!B3:B502,"抖音",'🛒购买记录明细'!C3:C502,"&gt;="&amp;DATE(2026,1,1),'🛒购买记录明细'!C3:C502,"&lt;"&amp;DATE(2027,1,1))</f>
        <v/>
      </c>
      <c r="D3" s="11">
        <f>IF(C3=0,0,C3/SUM($C$3:$C$10))</f>
        <v/>
      </c>
    </row>
    <row r="4" ht="22" customHeight="1">
      <c r="A4" s="3" t="inlineStr">
        <is>
          <t>1688</t>
        </is>
      </c>
      <c r="B4" s="3">
        <f>COUNTIFS('🛒购买记录明细'!B3:B502,"1688",'🛒购买记录明细'!C3:C502,"&gt;="&amp;DATE(2026,1,1),'🛒购买记录明细'!C3:C502,"&lt;"&amp;DATE(2027,1,1))</f>
        <v/>
      </c>
      <c r="C4" s="6">
        <f>SUMIFS('🛒购买记录明细'!G3:G502,'🛒购买记录明细'!B3:B502,"1688",'🛒购买记录明细'!C3:C502,"&gt;="&amp;DATE(2026,1,1),'🛒购买记录明细'!C3:C502,"&lt;"&amp;DATE(2027,1,1))</f>
        <v/>
      </c>
      <c r="D4" s="11">
        <f>IF(C4=0,0,C4/SUM($C$3:$C$10))</f>
        <v/>
      </c>
    </row>
    <row r="5" ht="22" customHeight="1">
      <c r="A5" s="3" t="inlineStr">
        <is>
          <t>淘宝</t>
        </is>
      </c>
      <c r="B5" s="3">
        <f>COUNTIFS('🛒购买记录明细'!B3:B502,"淘宝",'🛒购买记录明细'!C3:C502,"&gt;="&amp;DATE(2026,1,1),'🛒购买记录明细'!C3:C502,"&lt;"&amp;DATE(2027,1,1))</f>
        <v/>
      </c>
      <c r="C5" s="6">
        <f>SUMIFS('🛒购买记录明细'!G3:G502,'🛒购买记录明细'!B3:B502,"淘宝",'🛒购买记录明细'!C3:C502,"&gt;="&amp;DATE(2026,1,1),'🛒购买记录明细'!C3:C502,"&lt;"&amp;DATE(2027,1,1))</f>
        <v/>
      </c>
      <c r="D5" s="11">
        <f>IF(C5=0,0,C5/SUM($C$3:$C$10))</f>
        <v/>
      </c>
    </row>
    <row r="6" ht="22" customHeight="1">
      <c r="A6" s="3" t="inlineStr">
        <is>
          <t>京东</t>
        </is>
      </c>
      <c r="B6" s="3">
        <f>COUNTIFS('🛒购买记录明细'!B3:B502,"京东",'🛒购买记录明细'!C3:C502,"&gt;="&amp;DATE(2026,1,1),'🛒购买记录明细'!C3:C502,"&lt;"&amp;DATE(2027,1,1))</f>
        <v/>
      </c>
      <c r="C6" s="6">
        <f>SUMIFS('🛒购买记录明细'!G3:G502,'🛒购买记录明细'!B3:B502,"京东",'🛒购买记录明细'!C3:C502,"&gt;="&amp;DATE(2026,1,1),'🛒购买记录明细'!C3:C502,"&lt;"&amp;DATE(2027,1,1))</f>
        <v/>
      </c>
      <c r="D6" s="11">
        <f>IF(C6=0,0,C6/SUM($C$3:$C$10))</f>
        <v/>
      </c>
    </row>
    <row r="7" ht="22" customHeight="1">
      <c r="A7" s="3" t="inlineStr">
        <is>
          <t>拼多多</t>
        </is>
      </c>
      <c r="B7" s="3">
        <f>COUNTIFS('🛒购买记录明细'!B3:B502,"拼多多",'🛒购买记录明细'!C3:C502,"&gt;="&amp;DATE(2026,1,1),'🛒购买记录明细'!C3:C502,"&lt;"&amp;DATE(2027,1,1))</f>
        <v/>
      </c>
      <c r="C7" s="6">
        <f>SUMIFS('🛒购买记录明细'!G3:G502,'🛒购买记录明细'!B3:B502,"拼多多",'🛒购买记录明细'!C3:C502,"&gt;="&amp;DATE(2026,1,1),'🛒购买记录明细'!C3:C502,"&lt;"&amp;DATE(2027,1,1))</f>
        <v/>
      </c>
      <c r="D7" s="11">
        <f>IF(C7=0,0,C7/SUM($C$3:$C$10))</f>
        <v/>
      </c>
    </row>
    <row r="8" ht="22" customHeight="1">
      <c r="A8" s="3" t="inlineStr">
        <is>
          <t>天猫</t>
        </is>
      </c>
      <c r="B8" s="3">
        <f>COUNTIFS('🛒购买记录明细'!B3:B502,"天猫",'🛒购买记录明细'!C3:C502,"&gt;="&amp;DATE(2026,1,1),'🛒购买记录明细'!C3:C502,"&lt;"&amp;DATE(2027,1,1))</f>
        <v/>
      </c>
      <c r="C8" s="6">
        <f>SUMIFS('🛒购买记录明细'!G3:G502,'🛒购买记录明细'!B3:B502,"天猫",'🛒购买记录明细'!C3:C502,"&gt;="&amp;DATE(2026,1,1),'🛒购买记录明细'!C3:C502,"&lt;"&amp;DATE(2027,1,1))</f>
        <v/>
      </c>
      <c r="D8" s="11">
        <f>IF(C8=0,0,C8/SUM($C$3:$C$10))</f>
        <v/>
      </c>
    </row>
    <row r="9" ht="22" customHeight="1">
      <c r="A9" s="3" t="inlineStr">
        <is>
          <t>苏宁</t>
        </is>
      </c>
      <c r="B9" s="3">
        <f>COUNTIFS('🛒购买记录明细'!B3:B502,"苏宁",'🛒购买记录明细'!C3:C502,"&gt;="&amp;DATE(2026,1,1),'🛒购买记录明细'!C3:C502,"&lt;"&amp;DATE(2027,1,1))</f>
        <v/>
      </c>
      <c r="C9" s="6">
        <f>SUMIFS('🛒购买记录明细'!G3:G502,'🛒购买记录明细'!B3:B502,"苏宁",'🛒购买记录明细'!C3:C502,"&gt;="&amp;DATE(2026,1,1),'🛒购买记录明细'!C3:C502,"&lt;"&amp;DATE(2027,1,1))</f>
        <v/>
      </c>
      <c r="D9" s="11">
        <f>IF(C9=0,0,C9/SUM($C$3:$C$10))</f>
        <v/>
      </c>
    </row>
    <row r="10" ht="22" customHeight="1">
      <c r="A10" s="3" t="inlineStr">
        <is>
          <t>其他</t>
        </is>
      </c>
      <c r="B10" s="3">
        <f>COUNTIFS('🛒购买记录明细'!B3:B502,"其他",'🛒购买记录明细'!C3:C502,"&gt;="&amp;DATE(2026,1,1),'🛒购买记录明细'!C3:C502,"&lt;"&amp;DATE(2027,1,1))</f>
        <v/>
      </c>
      <c r="C10" s="6">
        <f>SUMIFS('🛒购买记录明细'!G3:G502,'🛒购买记录明细'!B3:B502,"其他",'🛒购买记录明细'!C3:C502,"&gt;="&amp;DATE(2026,1,1),'🛒购买记录明细'!C3:C502,"&lt;"&amp;DATE(2027,1,1))</f>
        <v/>
      </c>
      <c r="D10" s="11">
        <f>IF(C10=0,0,C10/SUM($C$3:$C$10))</f>
        <v/>
      </c>
    </row>
    <row r="11" ht="28" customHeight="1">
      <c r="A11" s="10" t="inlineStr">
        <is>
          <t>📊 合计</t>
        </is>
      </c>
      <c r="B11" s="10">
        <f>SUM(B3:B10)</f>
        <v/>
      </c>
      <c r="C11" s="9">
        <f>SUM(C3:C10)</f>
        <v/>
      </c>
      <c r="D11" s="10" t="inlineStr">
        <is>
          <t>100.00%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2026-07-18T02:46:39Z</dcterms:modified>
</cp:coreProperties>
</file>