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'🏪平台分布'!$C$3:$C$10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'🏪平台分布'!$A$3:$A$10</f>
            </numRef>
          </cat>
          <val>
            <numRef>
              <f>'🏪平台分布'!$B$3:$B$10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截图</t>
        </is>
      </c>
      <c r="J2" s="2" t="inlineStr">
        <is>
          <t>备注</t>
        </is>
      </c>
    </row>
    <row r="3" ht="22" customHeight="1">
      <c r="A3" s="3">
        <f>IF(C3="","",ROW()-2)</f>
        <v/>
      </c>
      <c r="B3" s="3" t="n"/>
      <c r="C3" s="3" t="n"/>
      <c r="D3" s="4" t="n"/>
      <c r="E3" s="4" t="n"/>
      <c r="F3" s="5" t="n"/>
      <c r="G3" s="6" t="n"/>
      <c r="H3" s="4" t="n"/>
      <c r="I3" s="7" t="n"/>
      <c r="J3" s="4" t="n"/>
    </row>
    <row r="4" ht="22" customHeight="1">
      <c r="A4" s="3">
        <f>IF(C4="","",ROW()-2)</f>
        <v/>
      </c>
      <c r="B4" s="3" t="n"/>
      <c r="C4" s="3" t="n"/>
      <c r="D4" s="4" t="n"/>
      <c r="E4" s="4" t="n"/>
      <c r="F4" s="5" t="n"/>
      <c r="G4" s="6" t="n"/>
      <c r="H4" s="4" t="n"/>
      <c r="I4" s="7" t="n"/>
      <c r="J4" s="4" t="n"/>
    </row>
    <row r="5" ht="22" customHeight="1">
      <c r="A5" s="3">
        <f>IF(C5="","",ROW()-2)</f>
        <v/>
      </c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2" customHeight="1">
      <c r="A6" s="3">
        <f>IF(C6="","",ROW()-2)</f>
        <v/>
      </c>
      <c r="B6" s="3" t="n"/>
      <c r="C6" s="3" t="n"/>
      <c r="D6" s="4" t="n"/>
      <c r="E6" s="4" t="n"/>
      <c r="F6" s="5" t="n"/>
      <c r="G6" s="6" t="n"/>
      <c r="H6" s="4" t="n"/>
      <c r="I6" s="7" t="n"/>
      <c r="J6" s="4" t="n"/>
    </row>
    <row r="7" ht="22" customHeight="1">
      <c r="A7" s="3">
        <f>IF(C7="","",ROW()-2)</f>
        <v/>
      </c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>
        <f>IF(C8="","",ROW()-2)</f>
        <v/>
      </c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>
        <f>IF(C9="","",ROW()-2)</f>
        <v/>
      </c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>
        <f>IF(C10="","",ROW()-2)</f>
        <v/>
      </c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>
        <f>IF(C11="","",ROW()-2)</f>
        <v/>
      </c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>
        <f>IF(C12="","",ROW()-2)</f>
        <v/>
      </c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>
        <f>IF(C13="","",ROW()-2)</f>
        <v/>
      </c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>
        <f>IF(C14="","",ROW()-2)</f>
        <v/>
      </c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>
        <f>IF(C15="","",ROW()-2)</f>
        <v/>
      </c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>
        <f>IF(C16="","",ROW()-2)</f>
        <v/>
      </c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>
        <f>IF(C17="","",ROW()-2)</f>
        <v/>
      </c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>
        <f>IF(C18="","",ROW()-2)</f>
        <v/>
      </c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>
        <f>IF(C19="","",ROW()-2)</f>
        <v/>
      </c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>
        <f>IF(C20="","",ROW()-2)</f>
        <v/>
      </c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>
        <f>IF(C21="","",ROW()-2)</f>
        <v/>
      </c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>
        <f>IF(C22="","",ROW()-2)</f>
        <v/>
      </c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>
        <f>IF(C23="","",ROW()-2)</f>
        <v/>
      </c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>
        <f>IF(C24="","",ROW()-2)</f>
        <v/>
      </c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>
        <f>IF(C25="","",ROW()-2)</f>
        <v/>
      </c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>
        <f>IF(C26="","",ROW()-2)</f>
        <v/>
      </c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>
        <f>IF(C27="","",ROW()-2)</f>
        <v/>
      </c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>
        <f>IF(C28="","",ROW()-2)</f>
        <v/>
      </c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>
        <f>IF(C29="","",ROW()-2)</f>
        <v/>
      </c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>
        <f>IF(C30="","",ROW()-2)</f>
        <v/>
      </c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>
        <f>IF(C31="","",ROW()-2)</f>
        <v/>
      </c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>
        <f>IF(C32="","",ROW()-2)</f>
        <v/>
      </c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>
        <f>IF(C33="","",ROW()-2)</f>
        <v/>
      </c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>
        <f>IF(C34="","",ROW()-2)</f>
        <v/>
      </c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>
        <f>IF(C35="","",ROW()-2)</f>
        <v/>
      </c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>
        <f>IF(C36="","",ROW()-2)</f>
        <v/>
      </c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>
        <f>IF(C37="","",ROW()-2)</f>
        <v/>
      </c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>
        <f>IF(C38="","",ROW()-2)</f>
        <v/>
      </c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>
        <f>IF(C39="","",ROW()-2)</f>
        <v/>
      </c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>
        <f>IF(C40="","",ROW()-2)</f>
        <v/>
      </c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>
        <f>IF(C41="","",ROW()-2)</f>
        <v/>
      </c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>
        <f>IF(C42="","",ROW()-2)</f>
        <v/>
      </c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>
        <f>IF(C43="","",ROW()-2)</f>
        <v/>
      </c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>
        <f>IF(C44="","",ROW()-2)</f>
        <v/>
      </c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>
        <f>IF(C45="","",ROW()-2)</f>
        <v/>
      </c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>
        <f>IF(C46="","",ROW()-2)</f>
        <v/>
      </c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>
        <f>IF(C47="","",ROW()-2)</f>
        <v/>
      </c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>
        <f>IF(C48="","",ROW()-2)</f>
        <v/>
      </c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>
        <f>IF(C49="","",ROW()-2)</f>
        <v/>
      </c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>
        <f>IF(C50="","",ROW()-2)</f>
        <v/>
      </c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>
        <f>IF(C51="","",ROW()-2)</f>
        <v/>
      </c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>
        <f>IF(C52="","",ROW()-2)</f>
        <v/>
      </c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>
        <f>IF(C53="","",ROW()-2)</f>
        <v/>
      </c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>
        <f>IF(C54="","",ROW()-2)</f>
        <v/>
      </c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>
        <f>IF(C55="","",ROW()-2)</f>
        <v/>
      </c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>
        <f>IF(C56="","",ROW()-2)</f>
        <v/>
      </c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>
        <f>IF(C57="","",ROW()-2)</f>
        <v/>
      </c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>
        <f>IF(C58="","",ROW()-2)</f>
        <v/>
      </c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>
        <f>IF(C59="","",ROW()-2)</f>
        <v/>
      </c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>
        <f>IF(C60="","",ROW()-2)</f>
        <v/>
      </c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>
        <f>IF(C61="","",ROW()-2)</f>
        <v/>
      </c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>
        <f>IF(C62="","",ROW()-2)</f>
        <v/>
      </c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>
        <f>IF(C63="","",ROW()-2)</f>
        <v/>
      </c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>
        <f>IF(C64="","",ROW()-2)</f>
        <v/>
      </c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>
        <f>IF(C65="","",ROW()-2)</f>
        <v/>
      </c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>
        <f>IF(C66="","",ROW()-2)</f>
        <v/>
      </c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>
        <f>IF(C67="","",ROW()-2)</f>
        <v/>
      </c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>
        <f>IF(C68="","",ROW()-2)</f>
        <v/>
      </c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>
        <f>IF(C69="","",ROW()-2)</f>
        <v/>
      </c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>
        <f>IF(C70="","",ROW()-2)</f>
        <v/>
      </c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>
        <f>IF(C71="","",ROW()-2)</f>
        <v/>
      </c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>
        <f>IF(C72="","",ROW()-2)</f>
        <v/>
      </c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>
        <f>IF(C73="","",ROW()-2)</f>
        <v/>
      </c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>
        <f>IF(C74="","",ROW()-2)</f>
        <v/>
      </c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>
        <f>IF(C75="","",ROW()-2)</f>
        <v/>
      </c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>
        <f>IF(C76="","",ROW()-2)</f>
        <v/>
      </c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>
        <f>IF(C77="","",ROW()-2)</f>
        <v/>
      </c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>
        <f>IF(C78="","",ROW()-2)</f>
        <v/>
      </c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>
        <f>IF(C79="","",ROW()-2)</f>
        <v/>
      </c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>
        <f>IF(C80="","",ROW()-2)</f>
        <v/>
      </c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>
        <f>IF(C81="","",ROW()-2)</f>
        <v/>
      </c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>
        <f>IF(C82="","",ROW()-2)</f>
        <v/>
      </c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>
        <f>IF(C83="","",ROW()-2)</f>
        <v/>
      </c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>
        <f>IF(C84="","",ROW()-2)</f>
        <v/>
      </c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>
        <f>IF(C85="","",ROW()-2)</f>
        <v/>
      </c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>
        <f>IF(C86="","",ROW()-2)</f>
        <v/>
      </c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>
        <f>IF(C87="","",ROW()-2)</f>
        <v/>
      </c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>
        <f>IF(C88="","",ROW()-2)</f>
        <v/>
      </c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>
        <f>IF(C89="","",ROW()-2)</f>
        <v/>
      </c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>
        <f>IF(C90="","",ROW()-2)</f>
        <v/>
      </c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>
        <f>IF(C91="","",ROW()-2)</f>
        <v/>
      </c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>
        <f>IF(C92="","",ROW()-2)</f>
        <v/>
      </c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>
        <f>IF(C93="","",ROW()-2)</f>
        <v/>
      </c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>
        <f>IF(C94="","",ROW()-2)</f>
        <v/>
      </c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>
        <f>IF(C95="","",ROW()-2)</f>
        <v/>
      </c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>
        <f>IF(C96="","",ROW()-2)</f>
        <v/>
      </c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>
        <f>IF(C97="","",ROW()-2)</f>
        <v/>
      </c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>
        <f>IF(C98="","",ROW()-2)</f>
        <v/>
      </c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>
        <f>IF(C99="","",ROW()-2)</f>
        <v/>
      </c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>
        <f>IF(C100="","",ROW()-2)</f>
        <v/>
      </c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>
        <f>IF(C101="","",ROW()-2)</f>
        <v/>
      </c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>
        <f>IF(C102="","",ROW()-2)</f>
        <v/>
      </c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>
        <f>IF(C103="","",ROW()-2)</f>
        <v/>
      </c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>
        <f>IF(C104="","",ROW()-2)</f>
        <v/>
      </c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>
        <f>IF(C105="","",ROW()-2)</f>
        <v/>
      </c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>
        <f>IF(C106="","",ROW()-2)</f>
        <v/>
      </c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>
        <f>IF(C107="","",ROW()-2)</f>
        <v/>
      </c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>
        <f>IF(C108="","",ROW()-2)</f>
        <v/>
      </c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>
        <f>IF(C109="","",ROW()-2)</f>
        <v/>
      </c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>
        <f>IF(C110="","",ROW()-2)</f>
        <v/>
      </c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>
        <f>IF(C111="","",ROW()-2)</f>
        <v/>
      </c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>
        <f>IF(C112="","",ROW()-2)</f>
        <v/>
      </c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>
        <f>IF(C113="","",ROW()-2)</f>
        <v/>
      </c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>
        <f>IF(C114="","",ROW()-2)</f>
        <v/>
      </c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>
        <f>IF(C115="","",ROW()-2)</f>
        <v/>
      </c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>
        <f>IF(C116="","",ROW()-2)</f>
        <v/>
      </c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>
        <f>IF(C117="","",ROW()-2)</f>
        <v/>
      </c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>
        <f>IF(C118="","",ROW()-2)</f>
        <v/>
      </c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>
        <f>IF(C119="","",ROW()-2)</f>
        <v/>
      </c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>
        <f>IF(C120="","",ROW()-2)</f>
        <v/>
      </c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>
        <f>IF(C121="","",ROW()-2)</f>
        <v/>
      </c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>
        <f>IF(C122="","",ROW()-2)</f>
        <v/>
      </c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>
        <f>IF(C123="","",ROW()-2)</f>
        <v/>
      </c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>
        <f>IF(C124="","",ROW()-2)</f>
        <v/>
      </c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>
        <f>IF(C125="","",ROW()-2)</f>
        <v/>
      </c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>
        <f>IF(C126="","",ROW()-2)</f>
        <v/>
      </c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>
        <f>IF(C127="","",ROW()-2)</f>
        <v/>
      </c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>
        <f>IF(C128="","",ROW()-2)</f>
        <v/>
      </c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>
        <f>IF(C129="","",ROW()-2)</f>
        <v/>
      </c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>
        <f>IF(C130="","",ROW()-2)</f>
        <v/>
      </c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>
        <f>IF(C131="","",ROW()-2)</f>
        <v/>
      </c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>
        <f>IF(C132="","",ROW()-2)</f>
        <v/>
      </c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>
        <f>IF(C133="","",ROW()-2)</f>
        <v/>
      </c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>
        <f>IF(C134="","",ROW()-2)</f>
        <v/>
      </c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>
        <f>IF(C135="","",ROW()-2)</f>
        <v/>
      </c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>
        <f>IF(C136="","",ROW()-2)</f>
        <v/>
      </c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>
        <f>IF(C137="","",ROW()-2)</f>
        <v/>
      </c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>
        <f>IF(C138="","",ROW()-2)</f>
        <v/>
      </c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>
        <f>IF(C139="","",ROW()-2)</f>
        <v/>
      </c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>
        <f>IF(C140="","",ROW()-2)</f>
        <v/>
      </c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>
        <f>IF(C141="","",ROW()-2)</f>
        <v/>
      </c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>
        <f>IF(C142="","",ROW()-2)</f>
        <v/>
      </c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>
        <f>IF(C143="","",ROW()-2)</f>
        <v/>
      </c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>
        <f>IF(C144="","",ROW()-2)</f>
        <v/>
      </c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>
        <f>IF(C145="","",ROW()-2)</f>
        <v/>
      </c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>
        <f>IF(C146="","",ROW()-2)</f>
        <v/>
      </c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>
        <f>IF(C147="","",ROW()-2)</f>
        <v/>
      </c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>
        <f>IF(C148="","",ROW()-2)</f>
        <v/>
      </c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>
        <f>IF(C149="","",ROW()-2)</f>
        <v/>
      </c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>
        <f>IF(C150="","",ROW()-2)</f>
        <v/>
      </c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>
        <f>IF(C151="","",ROW()-2)</f>
        <v/>
      </c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>
        <f>IF(C152="","",ROW()-2)</f>
        <v/>
      </c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>
        <f>IF(C153="","",ROW()-2)</f>
        <v/>
      </c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>
        <f>IF(C154="","",ROW()-2)</f>
        <v/>
      </c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>
        <f>IF(C155="","",ROW()-2)</f>
        <v/>
      </c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>
        <f>IF(C156="","",ROW()-2)</f>
        <v/>
      </c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>
        <f>IF(C157="","",ROW()-2)</f>
        <v/>
      </c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>
        <f>IF(C158="","",ROW()-2)</f>
        <v/>
      </c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>
        <f>IF(C159="","",ROW()-2)</f>
        <v/>
      </c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>
        <f>IF(C160="","",ROW()-2)</f>
        <v/>
      </c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>
        <f>IF(C161="","",ROW()-2)</f>
        <v/>
      </c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>
        <f>IF(C162="","",ROW()-2)</f>
        <v/>
      </c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>
        <f>IF(C163="","",ROW()-2)</f>
        <v/>
      </c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>
        <f>IF(C164="","",ROW()-2)</f>
        <v/>
      </c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>
        <f>IF(C165="","",ROW()-2)</f>
        <v/>
      </c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>
        <f>IF(C166="","",ROW()-2)</f>
        <v/>
      </c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>
        <f>IF(C167="","",ROW()-2)</f>
        <v/>
      </c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>
        <f>IF(C168="","",ROW()-2)</f>
        <v/>
      </c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>
        <f>IF(C169="","",ROW()-2)</f>
        <v/>
      </c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>
        <f>IF(C170="","",ROW()-2)</f>
        <v/>
      </c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>
        <f>IF(C171="","",ROW()-2)</f>
        <v/>
      </c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>
        <f>IF(C172="","",ROW()-2)</f>
        <v/>
      </c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>
        <f>IF(C173="","",ROW()-2)</f>
        <v/>
      </c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>
        <f>IF(C174="","",ROW()-2)</f>
        <v/>
      </c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>
        <f>IF(C175="","",ROW()-2)</f>
        <v/>
      </c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>
        <f>IF(C176="","",ROW()-2)</f>
        <v/>
      </c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>
        <f>IF(C177="","",ROW()-2)</f>
        <v/>
      </c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>
        <f>IF(C178="","",ROW()-2)</f>
        <v/>
      </c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>
        <f>IF(C179="","",ROW()-2)</f>
        <v/>
      </c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>
        <f>IF(C180="","",ROW()-2)</f>
        <v/>
      </c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>
        <f>IF(C181="","",ROW()-2)</f>
        <v/>
      </c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>
        <f>IF(C182="","",ROW()-2)</f>
        <v/>
      </c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>
        <f>IF(C183="","",ROW()-2)</f>
        <v/>
      </c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>
        <f>IF(C184="","",ROW()-2)</f>
        <v/>
      </c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>
        <f>IF(C185="","",ROW()-2)</f>
        <v/>
      </c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>
        <f>IF(C186="","",ROW()-2)</f>
        <v/>
      </c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>
        <f>IF(C187="","",ROW()-2)</f>
        <v/>
      </c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>
        <f>IF(C188="","",ROW()-2)</f>
        <v/>
      </c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>
        <f>IF(C189="","",ROW()-2)</f>
        <v/>
      </c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>
        <f>IF(C190="","",ROW()-2)</f>
        <v/>
      </c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>
        <f>IF(C191="","",ROW()-2)</f>
        <v/>
      </c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>
        <f>IF(C192="","",ROW()-2)</f>
        <v/>
      </c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>
        <f>IF(C193="","",ROW()-2)</f>
        <v/>
      </c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>
        <f>IF(C194="","",ROW()-2)</f>
        <v/>
      </c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>
        <f>IF(C195="","",ROW()-2)</f>
        <v/>
      </c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>
        <f>IF(C196="","",ROW()-2)</f>
        <v/>
      </c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>
        <f>IF(C197="","",ROW()-2)</f>
        <v/>
      </c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>
        <f>IF(C198="","",ROW()-2)</f>
        <v/>
      </c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>
        <f>IF(C199="","",ROW()-2)</f>
        <v/>
      </c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>
        <f>IF(C200="","",ROW()-2)</f>
        <v/>
      </c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>
        <f>IF(C201="","",ROW()-2)</f>
        <v/>
      </c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>
        <f>IF(C202="","",ROW()-2)</f>
        <v/>
      </c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>
        <f>IF(C203="","",ROW()-2)</f>
        <v/>
      </c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>
        <f>IF(C204="","",ROW()-2)</f>
        <v/>
      </c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>
        <f>IF(C205="","",ROW()-2)</f>
        <v/>
      </c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>
        <f>IF(C206="","",ROW()-2)</f>
        <v/>
      </c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>
        <f>IF(C207="","",ROW()-2)</f>
        <v/>
      </c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>
        <f>IF(C208="","",ROW()-2)</f>
        <v/>
      </c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>
        <f>IF(C209="","",ROW()-2)</f>
        <v/>
      </c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>
        <f>IF(C210="","",ROW()-2)</f>
        <v/>
      </c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>
        <f>IF(C211="","",ROW()-2)</f>
        <v/>
      </c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>
        <f>IF(C212="","",ROW()-2)</f>
        <v/>
      </c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>
        <f>IF(C213="","",ROW()-2)</f>
        <v/>
      </c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>
        <f>IF(C214="","",ROW()-2)</f>
        <v/>
      </c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>
        <f>IF(C215="","",ROW()-2)</f>
        <v/>
      </c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>
        <f>IF(C216="","",ROW()-2)</f>
        <v/>
      </c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>
        <f>IF(C217="","",ROW()-2)</f>
        <v/>
      </c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>
        <f>IF(C218="","",ROW()-2)</f>
        <v/>
      </c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>
        <f>IF(C219="","",ROW()-2)</f>
        <v/>
      </c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>
        <f>IF(C220="","",ROW()-2)</f>
        <v/>
      </c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>
        <f>IF(C221="","",ROW()-2)</f>
        <v/>
      </c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>
        <f>IF(C222="","",ROW()-2)</f>
        <v/>
      </c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>
        <f>IF(C223="","",ROW()-2)</f>
        <v/>
      </c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>
        <f>IF(C224="","",ROW()-2)</f>
        <v/>
      </c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>
        <f>IF(C225="","",ROW()-2)</f>
        <v/>
      </c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>
        <f>IF(C226="","",ROW()-2)</f>
        <v/>
      </c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>
        <f>IF(C227="","",ROW()-2)</f>
        <v/>
      </c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>
        <f>IF(C228="","",ROW()-2)</f>
        <v/>
      </c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>
        <f>IF(C229="","",ROW()-2)</f>
        <v/>
      </c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>
        <f>IF(C230="","",ROW()-2)</f>
        <v/>
      </c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>
        <f>IF(C231="","",ROW()-2)</f>
        <v/>
      </c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>
        <f>IF(C232="","",ROW()-2)</f>
        <v/>
      </c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>
        <f>IF(C233="","",ROW()-2)</f>
        <v/>
      </c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>
        <f>IF(C234="","",ROW()-2)</f>
        <v/>
      </c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>
        <f>IF(C235="","",ROW()-2)</f>
        <v/>
      </c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>
        <f>IF(C236="","",ROW()-2)</f>
        <v/>
      </c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>
        <f>IF(C237="","",ROW()-2)</f>
        <v/>
      </c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>
        <f>IF(C238="","",ROW()-2)</f>
        <v/>
      </c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>
        <f>IF(C239="","",ROW()-2)</f>
        <v/>
      </c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>
        <f>IF(C240="","",ROW()-2)</f>
        <v/>
      </c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>
        <f>IF(C241="","",ROW()-2)</f>
        <v/>
      </c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>
        <f>IF(C242="","",ROW()-2)</f>
        <v/>
      </c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>
        <f>IF(C243="","",ROW()-2)</f>
        <v/>
      </c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>
        <f>IF(C244="","",ROW()-2)</f>
        <v/>
      </c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>
        <f>IF(C245="","",ROW()-2)</f>
        <v/>
      </c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>
        <f>IF(C246="","",ROW()-2)</f>
        <v/>
      </c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>
        <f>IF(C247="","",ROW()-2)</f>
        <v/>
      </c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>
        <f>IF(C248="","",ROW()-2)</f>
        <v/>
      </c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>
        <f>IF(C249="","",ROW()-2)</f>
        <v/>
      </c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>
        <f>IF(C250="","",ROW()-2)</f>
        <v/>
      </c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>
        <f>IF(C251="","",ROW()-2)</f>
        <v/>
      </c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>
        <f>IF(C252="","",ROW()-2)</f>
        <v/>
      </c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>
        <f>IF(C253="","",ROW()-2)</f>
        <v/>
      </c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>
        <f>IF(C254="","",ROW()-2)</f>
        <v/>
      </c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>
        <f>IF(C255="","",ROW()-2)</f>
        <v/>
      </c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>
        <f>IF(C256="","",ROW()-2)</f>
        <v/>
      </c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>
        <f>IF(C257="","",ROW()-2)</f>
        <v/>
      </c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>
        <f>IF(C258="","",ROW()-2)</f>
        <v/>
      </c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>
        <f>IF(C259="","",ROW()-2)</f>
        <v/>
      </c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>
        <f>IF(C260="","",ROW()-2)</f>
        <v/>
      </c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>
        <f>IF(C261="","",ROW()-2)</f>
        <v/>
      </c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>
        <f>IF(C262="","",ROW()-2)</f>
        <v/>
      </c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>
        <f>IF(C263="","",ROW()-2)</f>
        <v/>
      </c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>
        <f>IF(C264="","",ROW()-2)</f>
        <v/>
      </c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>
        <f>IF(C265="","",ROW()-2)</f>
        <v/>
      </c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>
        <f>IF(C266="","",ROW()-2)</f>
        <v/>
      </c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>
        <f>IF(C267="","",ROW()-2)</f>
        <v/>
      </c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>
        <f>IF(C268="","",ROW()-2)</f>
        <v/>
      </c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>
        <f>IF(C269="","",ROW()-2)</f>
        <v/>
      </c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>
        <f>IF(C270="","",ROW()-2)</f>
        <v/>
      </c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>
        <f>IF(C271="","",ROW()-2)</f>
        <v/>
      </c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>
        <f>IF(C272="","",ROW()-2)</f>
        <v/>
      </c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>
        <f>IF(C273="","",ROW()-2)</f>
        <v/>
      </c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>
        <f>IF(C274="","",ROW()-2)</f>
        <v/>
      </c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>
        <f>IF(C275="","",ROW()-2)</f>
        <v/>
      </c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>
        <f>IF(C276="","",ROW()-2)</f>
        <v/>
      </c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>
        <f>IF(C277="","",ROW()-2)</f>
        <v/>
      </c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>
        <f>IF(C278="","",ROW()-2)</f>
        <v/>
      </c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>
        <f>IF(C279="","",ROW()-2)</f>
        <v/>
      </c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>
        <f>IF(C280="","",ROW()-2)</f>
        <v/>
      </c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>
        <f>IF(C281="","",ROW()-2)</f>
        <v/>
      </c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>
        <f>IF(C282="","",ROW()-2)</f>
        <v/>
      </c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>
        <f>IF(C283="","",ROW()-2)</f>
        <v/>
      </c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>
        <f>IF(C284="","",ROW()-2)</f>
        <v/>
      </c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>
        <f>IF(C285="","",ROW()-2)</f>
        <v/>
      </c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>
        <f>IF(C286="","",ROW()-2)</f>
        <v/>
      </c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>
        <f>IF(C287="","",ROW()-2)</f>
        <v/>
      </c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>
        <f>IF(C288="","",ROW()-2)</f>
        <v/>
      </c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>
        <f>IF(C289="","",ROW()-2)</f>
        <v/>
      </c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>
        <f>IF(C290="","",ROW()-2)</f>
        <v/>
      </c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>
        <f>IF(C291="","",ROW()-2)</f>
        <v/>
      </c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>
        <f>IF(C292="","",ROW()-2)</f>
        <v/>
      </c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>
        <f>IF(C293="","",ROW()-2)</f>
        <v/>
      </c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>
        <f>IF(C294="","",ROW()-2)</f>
        <v/>
      </c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>
        <f>IF(C295="","",ROW()-2)</f>
        <v/>
      </c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>
        <f>IF(C296="","",ROW()-2)</f>
        <v/>
      </c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>
        <f>IF(C297="","",ROW()-2)</f>
        <v/>
      </c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>
        <f>IF(C298="","",ROW()-2)</f>
        <v/>
      </c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>
        <f>IF(C299="","",ROW()-2)</f>
        <v/>
      </c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>
        <f>IF(C300="","",ROW()-2)</f>
        <v/>
      </c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>
        <f>IF(C301="","",ROW()-2)</f>
        <v/>
      </c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>
        <f>IF(C302="","",ROW()-2)</f>
        <v/>
      </c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>
        <f>IF(C303="","",ROW()-2)</f>
        <v/>
      </c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>
        <f>IF(C304="","",ROW()-2)</f>
        <v/>
      </c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>
        <f>IF(C305="","",ROW()-2)</f>
        <v/>
      </c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>
        <f>IF(C306="","",ROW()-2)</f>
        <v/>
      </c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>
        <f>IF(C307="","",ROW()-2)</f>
        <v/>
      </c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>
        <f>IF(C308="","",ROW()-2)</f>
        <v/>
      </c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>
        <f>IF(C309="","",ROW()-2)</f>
        <v/>
      </c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>
        <f>IF(C310="","",ROW()-2)</f>
        <v/>
      </c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>
        <f>IF(C311="","",ROW()-2)</f>
        <v/>
      </c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>
        <f>IF(C312="","",ROW()-2)</f>
        <v/>
      </c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>
        <f>IF(C313="","",ROW()-2)</f>
        <v/>
      </c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>
        <f>IF(C314="","",ROW()-2)</f>
        <v/>
      </c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>
        <f>IF(C315="","",ROW()-2)</f>
        <v/>
      </c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>
        <f>IF(C316="","",ROW()-2)</f>
        <v/>
      </c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>
        <f>IF(C317="","",ROW()-2)</f>
        <v/>
      </c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>
        <f>IF(C318="","",ROW()-2)</f>
        <v/>
      </c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>
        <f>IF(C319="","",ROW()-2)</f>
        <v/>
      </c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>
        <f>IF(C320="","",ROW()-2)</f>
        <v/>
      </c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>
        <f>IF(C321="","",ROW()-2)</f>
        <v/>
      </c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>
        <f>IF(C322="","",ROW()-2)</f>
        <v/>
      </c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>
        <f>IF(C323="","",ROW()-2)</f>
        <v/>
      </c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>
        <f>IF(C324="","",ROW()-2)</f>
        <v/>
      </c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>
        <f>IF(C325="","",ROW()-2)</f>
        <v/>
      </c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>
        <f>IF(C326="","",ROW()-2)</f>
        <v/>
      </c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>
        <f>IF(C327="","",ROW()-2)</f>
        <v/>
      </c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>
        <f>IF(C328="","",ROW()-2)</f>
        <v/>
      </c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>
        <f>IF(C329="","",ROW()-2)</f>
        <v/>
      </c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>
        <f>IF(C330="","",ROW()-2)</f>
        <v/>
      </c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>
        <f>IF(C331="","",ROW()-2)</f>
        <v/>
      </c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>
        <f>IF(C332="","",ROW()-2)</f>
        <v/>
      </c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>
        <f>IF(C333="","",ROW()-2)</f>
        <v/>
      </c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>
        <f>IF(C334="","",ROW()-2)</f>
        <v/>
      </c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>
        <f>IF(C335="","",ROW()-2)</f>
        <v/>
      </c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>
        <f>IF(C336="","",ROW()-2)</f>
        <v/>
      </c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>
        <f>IF(C337="","",ROW()-2)</f>
        <v/>
      </c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>
        <f>IF(C338="","",ROW()-2)</f>
        <v/>
      </c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>
        <f>IF(C339="","",ROW()-2)</f>
        <v/>
      </c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>
        <f>IF(C340="","",ROW()-2)</f>
        <v/>
      </c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>
        <f>IF(C341="","",ROW()-2)</f>
        <v/>
      </c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>
        <f>IF(C342="","",ROW()-2)</f>
        <v/>
      </c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>
        <f>IF(C343="","",ROW()-2)</f>
        <v/>
      </c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>
        <f>IF(C344="","",ROW()-2)</f>
        <v/>
      </c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>
        <f>IF(C345="","",ROW()-2)</f>
        <v/>
      </c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>
        <f>IF(C346="","",ROW()-2)</f>
        <v/>
      </c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>
        <f>IF(C347="","",ROW()-2)</f>
        <v/>
      </c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>
        <f>IF(C348="","",ROW()-2)</f>
        <v/>
      </c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>
        <f>IF(C349="","",ROW()-2)</f>
        <v/>
      </c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>
        <f>IF(C350="","",ROW()-2)</f>
        <v/>
      </c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>
        <f>IF(C351="","",ROW()-2)</f>
        <v/>
      </c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>
        <f>IF(C352="","",ROW()-2)</f>
        <v/>
      </c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>
        <f>IF(C353="","",ROW()-2)</f>
        <v/>
      </c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>
        <f>IF(C354="","",ROW()-2)</f>
        <v/>
      </c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>
        <f>IF(C355="","",ROW()-2)</f>
        <v/>
      </c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>
        <f>IF(C356="","",ROW()-2)</f>
        <v/>
      </c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>
        <f>IF(C357="","",ROW()-2)</f>
        <v/>
      </c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>
        <f>IF(C358="","",ROW()-2)</f>
        <v/>
      </c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>
        <f>IF(C359="","",ROW()-2)</f>
        <v/>
      </c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>
        <f>IF(C360="","",ROW()-2)</f>
        <v/>
      </c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>
        <f>IF(C361="","",ROW()-2)</f>
        <v/>
      </c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>
        <f>IF(C362="","",ROW()-2)</f>
        <v/>
      </c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>
        <f>IF(C363="","",ROW()-2)</f>
        <v/>
      </c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>
        <f>IF(C364="","",ROW()-2)</f>
        <v/>
      </c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>
        <f>IF(C365="","",ROW()-2)</f>
        <v/>
      </c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>
        <f>IF(C366="","",ROW()-2)</f>
        <v/>
      </c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>
        <f>IF(C367="","",ROW()-2)</f>
        <v/>
      </c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>
        <f>IF(C368="","",ROW()-2)</f>
        <v/>
      </c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>
        <f>IF(C369="","",ROW()-2)</f>
        <v/>
      </c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>
        <f>IF(C370="","",ROW()-2)</f>
        <v/>
      </c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>
        <f>IF(C371="","",ROW()-2)</f>
        <v/>
      </c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>
        <f>IF(C372="","",ROW()-2)</f>
        <v/>
      </c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>
        <f>IF(C373="","",ROW()-2)</f>
        <v/>
      </c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>
        <f>IF(C374="","",ROW()-2)</f>
        <v/>
      </c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>
        <f>IF(C375="","",ROW()-2)</f>
        <v/>
      </c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>
        <f>IF(C376="","",ROW()-2)</f>
        <v/>
      </c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>
        <f>IF(C377="","",ROW()-2)</f>
        <v/>
      </c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>
        <f>IF(C378="","",ROW()-2)</f>
        <v/>
      </c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>
        <f>IF(C379="","",ROW()-2)</f>
        <v/>
      </c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>
        <f>IF(C380="","",ROW()-2)</f>
        <v/>
      </c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>
        <f>IF(C381="","",ROW()-2)</f>
        <v/>
      </c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>
        <f>IF(C382="","",ROW()-2)</f>
        <v/>
      </c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>
        <f>IF(C383="","",ROW()-2)</f>
        <v/>
      </c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>
        <f>IF(C384="","",ROW()-2)</f>
        <v/>
      </c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>
        <f>IF(C385="","",ROW()-2)</f>
        <v/>
      </c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>
        <f>IF(C386="","",ROW()-2)</f>
        <v/>
      </c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>
        <f>IF(C387="","",ROW()-2)</f>
        <v/>
      </c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>
        <f>IF(C388="","",ROW()-2)</f>
        <v/>
      </c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>
        <f>IF(C389="","",ROW()-2)</f>
        <v/>
      </c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>
        <f>IF(C390="","",ROW()-2)</f>
        <v/>
      </c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>
        <f>IF(C391="","",ROW()-2)</f>
        <v/>
      </c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>
        <f>IF(C392="","",ROW()-2)</f>
        <v/>
      </c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>
        <f>IF(C393="","",ROW()-2)</f>
        <v/>
      </c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>
        <f>IF(C394="","",ROW()-2)</f>
        <v/>
      </c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>
        <f>IF(C395="","",ROW()-2)</f>
        <v/>
      </c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>
        <f>IF(C396="","",ROW()-2)</f>
        <v/>
      </c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>
        <f>IF(C397="","",ROW()-2)</f>
        <v/>
      </c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>
        <f>IF(C398="","",ROW()-2)</f>
        <v/>
      </c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>
        <f>IF(C399="","",ROW()-2)</f>
        <v/>
      </c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>
        <f>IF(C400="","",ROW()-2)</f>
        <v/>
      </c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>
        <f>IF(C401="","",ROW()-2)</f>
        <v/>
      </c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>
        <f>IF(C402="","",ROW()-2)</f>
        <v/>
      </c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>
        <f>IF(C403="","",ROW()-2)</f>
        <v/>
      </c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>
        <f>IF(C404="","",ROW()-2)</f>
        <v/>
      </c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>
        <f>IF(C405="","",ROW()-2)</f>
        <v/>
      </c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>
        <f>IF(C406="","",ROW()-2)</f>
        <v/>
      </c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>
        <f>IF(C407="","",ROW()-2)</f>
        <v/>
      </c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>
        <f>IF(C408="","",ROW()-2)</f>
        <v/>
      </c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>
        <f>IF(C409="","",ROW()-2)</f>
        <v/>
      </c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>
        <f>IF(C410="","",ROW()-2)</f>
        <v/>
      </c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>
        <f>IF(C411="","",ROW()-2)</f>
        <v/>
      </c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>
        <f>IF(C412="","",ROW()-2)</f>
        <v/>
      </c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>
        <f>IF(C413="","",ROW()-2)</f>
        <v/>
      </c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>
        <f>IF(C414="","",ROW()-2)</f>
        <v/>
      </c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>
        <f>IF(C415="","",ROW()-2)</f>
        <v/>
      </c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>
        <f>IF(C416="","",ROW()-2)</f>
        <v/>
      </c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>
        <f>IF(C417="","",ROW()-2)</f>
        <v/>
      </c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>
        <f>IF(C418="","",ROW()-2)</f>
        <v/>
      </c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>
        <f>IF(C419="","",ROW()-2)</f>
        <v/>
      </c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>
        <f>IF(C420="","",ROW()-2)</f>
        <v/>
      </c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>
        <f>IF(C421="","",ROW()-2)</f>
        <v/>
      </c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>
        <f>IF(C422="","",ROW()-2)</f>
        <v/>
      </c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>
        <f>IF(C423="","",ROW()-2)</f>
        <v/>
      </c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>
        <f>IF(C424="","",ROW()-2)</f>
        <v/>
      </c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>
        <f>IF(C425="","",ROW()-2)</f>
        <v/>
      </c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>
        <f>IF(C426="","",ROW()-2)</f>
        <v/>
      </c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>
        <f>IF(C427="","",ROW()-2)</f>
        <v/>
      </c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>
        <f>IF(C428="","",ROW()-2)</f>
        <v/>
      </c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>
        <f>IF(C429="","",ROW()-2)</f>
        <v/>
      </c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>
        <f>IF(C430="","",ROW()-2)</f>
        <v/>
      </c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>
        <f>IF(C431="","",ROW()-2)</f>
        <v/>
      </c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>
        <f>IF(C432="","",ROW()-2)</f>
        <v/>
      </c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>
        <f>IF(C433="","",ROW()-2)</f>
        <v/>
      </c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>
        <f>IF(C434="","",ROW()-2)</f>
        <v/>
      </c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>
        <f>IF(C435="","",ROW()-2)</f>
        <v/>
      </c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>
        <f>IF(C436="","",ROW()-2)</f>
        <v/>
      </c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>
        <f>IF(C437="","",ROW()-2)</f>
        <v/>
      </c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>
        <f>IF(C438="","",ROW()-2)</f>
        <v/>
      </c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>
        <f>IF(C439="","",ROW()-2)</f>
        <v/>
      </c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>
        <f>IF(C440="","",ROW()-2)</f>
        <v/>
      </c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>
        <f>IF(C441="","",ROW()-2)</f>
        <v/>
      </c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>
        <f>IF(C442="","",ROW()-2)</f>
        <v/>
      </c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>
        <f>IF(C443="","",ROW()-2)</f>
        <v/>
      </c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>
        <f>IF(C444="","",ROW()-2)</f>
        <v/>
      </c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>
        <f>IF(C445="","",ROW()-2)</f>
        <v/>
      </c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>
        <f>IF(C446="","",ROW()-2)</f>
        <v/>
      </c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>
        <f>IF(C447="","",ROW()-2)</f>
        <v/>
      </c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>
        <f>IF(C448="","",ROW()-2)</f>
        <v/>
      </c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>
        <f>IF(C449="","",ROW()-2)</f>
        <v/>
      </c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>
        <f>IF(C450="","",ROW()-2)</f>
        <v/>
      </c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>
        <f>IF(C451="","",ROW()-2)</f>
        <v/>
      </c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>
        <f>IF(C452="","",ROW()-2)</f>
        <v/>
      </c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>
        <f>IF(C453="","",ROW()-2)</f>
        <v/>
      </c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>
        <f>IF(C454="","",ROW()-2)</f>
        <v/>
      </c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>
        <f>IF(C455="","",ROW()-2)</f>
        <v/>
      </c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>
        <f>IF(C456="","",ROW()-2)</f>
        <v/>
      </c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>
        <f>IF(C457="","",ROW()-2)</f>
        <v/>
      </c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>
        <f>IF(C458="","",ROW()-2)</f>
        <v/>
      </c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>
        <f>IF(C459="","",ROW()-2)</f>
        <v/>
      </c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>
        <f>IF(C460="","",ROW()-2)</f>
        <v/>
      </c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>
        <f>IF(C461="","",ROW()-2)</f>
        <v/>
      </c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>
        <f>IF(C462="","",ROW()-2)</f>
        <v/>
      </c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>
        <f>IF(C463="","",ROW()-2)</f>
        <v/>
      </c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>
        <f>IF(C464="","",ROW()-2)</f>
        <v/>
      </c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>
        <f>IF(C465="","",ROW()-2)</f>
        <v/>
      </c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>
        <f>IF(C466="","",ROW()-2)</f>
        <v/>
      </c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>
        <f>IF(C467="","",ROW()-2)</f>
        <v/>
      </c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>
        <f>IF(C468="","",ROW()-2)</f>
        <v/>
      </c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>
        <f>IF(C469="","",ROW()-2)</f>
        <v/>
      </c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>
        <f>IF(C470="","",ROW()-2)</f>
        <v/>
      </c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>
        <f>IF(C471="","",ROW()-2)</f>
        <v/>
      </c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>
        <f>IF(C472="","",ROW()-2)</f>
        <v/>
      </c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>
        <f>IF(C473="","",ROW()-2)</f>
        <v/>
      </c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>
        <f>IF(C474="","",ROW()-2)</f>
        <v/>
      </c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>
        <f>IF(C475="","",ROW()-2)</f>
        <v/>
      </c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>
        <f>IF(C476="","",ROW()-2)</f>
        <v/>
      </c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>
        <f>IF(C477="","",ROW()-2)</f>
        <v/>
      </c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>
        <f>IF(C478="","",ROW()-2)</f>
        <v/>
      </c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>
        <f>IF(C479="","",ROW()-2)</f>
        <v/>
      </c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>
        <f>IF(C480="","",ROW()-2)</f>
        <v/>
      </c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>
        <f>IF(C481="","",ROW()-2)</f>
        <v/>
      </c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>
        <f>IF(C482="","",ROW()-2)</f>
        <v/>
      </c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>
        <f>IF(C483="","",ROW()-2)</f>
        <v/>
      </c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>
        <f>IF(C484="","",ROW()-2)</f>
        <v/>
      </c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>
        <f>IF(C485="","",ROW()-2)</f>
        <v/>
      </c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>
        <f>IF(C486="","",ROW()-2)</f>
        <v/>
      </c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>
        <f>IF(C487="","",ROW()-2)</f>
        <v/>
      </c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>
        <f>IF(C488="","",ROW()-2)</f>
        <v/>
      </c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>
        <f>IF(C489="","",ROW()-2)</f>
        <v/>
      </c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>
        <f>IF(C490="","",ROW()-2)</f>
        <v/>
      </c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>
        <f>IF(C491="","",ROW()-2)</f>
        <v/>
      </c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>
        <f>IF(C492="","",ROW()-2)</f>
        <v/>
      </c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>
        <f>IF(C493="","",ROW()-2)</f>
        <v/>
      </c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>
        <f>IF(C494="","",ROW()-2)</f>
        <v/>
      </c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>
        <f>IF(C495="","",ROW()-2)</f>
        <v/>
      </c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>
        <f>IF(C496="","",ROW()-2)</f>
        <v/>
      </c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>
        <f>IF(C497="","",ROW()-2)</f>
        <v/>
      </c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>
        <f>IF(C498="","",ROW()-2)</f>
        <v/>
      </c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>
        <f>IF(C499="","",ROW()-2)</f>
        <v/>
      </c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>
        <f>IF(C500="","",ROW()-2)</f>
        <v/>
      </c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>
        <f>IF(C501="","",ROW()-2)</f>
        <v/>
      </c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>
        <f>IF(C502="","",ROW()-2)</f>
        <v/>
      </c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3" ht="22" customHeight="1">
      <c r="A503" s="3">
        <f>IF(C503="","",ROW()-2)</f>
        <v/>
      </c>
      <c r="B503" s="3" t="n"/>
      <c r="C503" s="3" t="n"/>
      <c r="D503" s="4" t="n"/>
      <c r="E503" s="4" t="n"/>
      <c r="F503" s="5" t="n"/>
      <c r="G503" s="6" t="n"/>
      <c r="H503" s="4" t="n"/>
      <c r="I503" s="7" t="n"/>
      <c r="J503" s="4" t="n"/>
    </row>
    <row r="504" ht="22" customHeight="1">
      <c r="A504" s="3">
        <f>IF(C504="","",ROW()-2)</f>
        <v/>
      </c>
      <c r="B504" s="3" t="n"/>
      <c r="C504" s="3" t="n"/>
      <c r="D504" s="4" t="n"/>
      <c r="E504" s="4" t="n"/>
      <c r="F504" s="5" t="n"/>
      <c r="G504" s="6" t="n"/>
      <c r="H504" s="4" t="n"/>
      <c r="I504" s="7" t="n"/>
      <c r="J504" s="4" t="n"/>
    </row>
    <row r="505" ht="22" customHeight="1">
      <c r="A505" s="3">
        <f>IF(C505="","",ROW()-2)</f>
        <v/>
      </c>
      <c r="B505" s="3" t="n"/>
      <c r="C505" s="3" t="n"/>
      <c r="D505" s="4" t="n"/>
      <c r="E505" s="4" t="n"/>
      <c r="F505" s="5" t="n"/>
      <c r="G505" s="6" t="n"/>
      <c r="H505" s="4" t="n"/>
      <c r="I505" s="7" t="n"/>
      <c r="J505" s="4" t="n"/>
    </row>
    <row r="506" ht="22" customHeight="1">
      <c r="A506" s="3">
        <f>IF(C506="","",ROW()-2)</f>
        <v/>
      </c>
      <c r="B506" s="3" t="n"/>
      <c r="C506" s="3" t="n"/>
      <c r="D506" s="4" t="n"/>
      <c r="E506" s="4" t="n"/>
      <c r="F506" s="5" t="n"/>
      <c r="G506" s="6" t="n"/>
      <c r="H506" s="4" t="n"/>
      <c r="I506" s="7" t="n"/>
      <c r="J506" s="4" t="n"/>
    </row>
    <row r="507" ht="22" customHeight="1">
      <c r="A507" s="3">
        <f>IF(C507="","",ROW()-2)</f>
        <v/>
      </c>
      <c r="B507" s="3" t="n"/>
      <c r="C507" s="3" t="n"/>
      <c r="D507" s="4" t="n"/>
      <c r="E507" s="4" t="n"/>
      <c r="F507" s="5" t="n"/>
      <c r="G507" s="6" t="n"/>
      <c r="H507" s="4" t="n"/>
      <c r="I507" s="7" t="n"/>
      <c r="J507" s="4" t="n"/>
    </row>
    <row r="508" ht="22" customHeight="1">
      <c r="A508" s="3">
        <f>IF(C508="","",ROW()-2)</f>
        <v/>
      </c>
      <c r="B508" s="3" t="n"/>
      <c r="C508" s="3" t="n"/>
      <c r="D508" s="4" t="n"/>
      <c r="E508" s="4" t="n"/>
      <c r="F508" s="5" t="n"/>
      <c r="G508" s="6" t="n"/>
      <c r="H508" s="4" t="n"/>
      <c r="I508" s="7" t="n"/>
      <c r="J508" s="4" t="n"/>
    </row>
    <row r="509" ht="22" customHeight="1">
      <c r="A509" s="3">
        <f>IF(C509="","",ROW()-2)</f>
        <v/>
      </c>
      <c r="B509" s="3" t="n"/>
      <c r="C509" s="3" t="n"/>
      <c r="D509" s="4" t="n"/>
      <c r="E509" s="4" t="n"/>
      <c r="F509" s="5" t="n"/>
      <c r="G509" s="6" t="n"/>
      <c r="H509" s="4" t="n"/>
      <c r="I509" s="7" t="n"/>
      <c r="J509" s="4" t="n"/>
    </row>
    <row r="510" ht="22" customHeight="1">
      <c r="A510" s="3">
        <f>IF(C510="","",ROW()-2)</f>
        <v/>
      </c>
      <c r="B510" s="3" t="n"/>
      <c r="C510" s="3" t="n"/>
      <c r="D510" s="4" t="n"/>
      <c r="E510" s="4" t="n"/>
      <c r="F510" s="5" t="n"/>
      <c r="G510" s="6" t="n"/>
      <c r="H510" s="4" t="n"/>
      <c r="I510" s="7" t="n"/>
      <c r="J510" s="4" t="n"/>
    </row>
    <row r="511" ht="22" customHeight="1">
      <c r="A511" s="3">
        <f>IF(C511="","",ROW()-2)</f>
        <v/>
      </c>
      <c r="B511" s="3" t="n"/>
      <c r="C511" s="3" t="n"/>
      <c r="D511" s="4" t="n"/>
      <c r="E511" s="4" t="n"/>
      <c r="F511" s="5" t="n"/>
      <c r="G511" s="6" t="n"/>
      <c r="H511" s="4" t="n"/>
      <c r="I511" s="7" t="n"/>
      <c r="J511" s="4" t="n"/>
    </row>
    <row r="512" ht="22" customHeight="1">
      <c r="A512" s="3">
        <f>IF(C512="","",ROW()-2)</f>
        <v/>
      </c>
      <c r="B512" s="3" t="n"/>
      <c r="C512" s="3" t="n"/>
      <c r="D512" s="4" t="n"/>
      <c r="E512" s="4" t="n"/>
      <c r="F512" s="5" t="n"/>
      <c r="G512" s="6" t="n"/>
      <c r="H512" s="4" t="n"/>
      <c r="I512" s="7" t="n"/>
      <c r="J512" s="4" t="n"/>
    </row>
    <row r="513" ht="22" customHeight="1">
      <c r="A513" s="3">
        <f>IF(C513="","",ROW()-2)</f>
        <v/>
      </c>
      <c r="B513" s="3" t="n"/>
      <c r="C513" s="3" t="n"/>
      <c r="D513" s="4" t="n"/>
      <c r="E513" s="4" t="n"/>
      <c r="F513" s="5" t="n"/>
      <c r="G513" s="6" t="n"/>
      <c r="H513" s="4" t="n"/>
      <c r="I513" s="7" t="n"/>
      <c r="J513" s="4" t="n"/>
    </row>
    <row r="514" ht="22" customHeight="1">
      <c r="A514" s="3">
        <f>IF(C514="","",ROW()-2)</f>
        <v/>
      </c>
      <c r="B514" s="3" t="n"/>
      <c r="C514" s="3" t="n"/>
      <c r="D514" s="4" t="n"/>
      <c r="E514" s="4" t="n"/>
      <c r="F514" s="5" t="n"/>
      <c r="G514" s="6" t="n"/>
      <c r="H514" s="4" t="n"/>
      <c r="I514" s="7" t="n"/>
      <c r="J514" s="4" t="n"/>
    </row>
    <row r="515" ht="22" customHeight="1">
      <c r="A515" s="3">
        <f>IF(C515="","",ROW()-2)</f>
        <v/>
      </c>
      <c r="B515" s="3" t="n"/>
      <c r="C515" s="3" t="n"/>
      <c r="D515" s="4" t="n"/>
      <c r="E515" s="4" t="n"/>
      <c r="F515" s="5" t="n"/>
      <c r="G515" s="6" t="n"/>
      <c r="H515" s="4" t="n"/>
      <c r="I515" s="7" t="n"/>
      <c r="J515" s="4" t="n"/>
    </row>
    <row r="516" ht="22" customHeight="1">
      <c r="A516" s="3">
        <f>IF(C516="","",ROW()-2)</f>
        <v/>
      </c>
      <c r="B516" s="3" t="n"/>
      <c r="C516" s="3" t="n"/>
      <c r="D516" s="4" t="n"/>
      <c r="E516" s="4" t="n"/>
      <c r="F516" s="5" t="n"/>
      <c r="G516" s="6" t="n"/>
      <c r="H516" s="4" t="n"/>
      <c r="I516" s="7" t="n"/>
      <c r="J516" s="4" t="n"/>
    </row>
    <row r="517" ht="22" customHeight="1">
      <c r="A517" s="3">
        <f>IF(C517="","",ROW()-2)</f>
        <v/>
      </c>
      <c r="B517" s="3" t="n"/>
      <c r="C517" s="3" t="n"/>
      <c r="D517" s="4" t="n"/>
      <c r="E517" s="4" t="n"/>
      <c r="F517" s="5" t="n"/>
      <c r="G517" s="6" t="n"/>
      <c r="H517" s="4" t="n"/>
      <c r="I517" s="7" t="n"/>
      <c r="J517" s="4" t="n"/>
    </row>
    <row r="518" ht="22" customHeight="1">
      <c r="A518" s="3">
        <f>IF(C518="","",ROW()-2)</f>
        <v/>
      </c>
      <c r="B518" s="3" t="n"/>
      <c r="C518" s="3" t="n"/>
      <c r="D518" s="4" t="n"/>
      <c r="E518" s="4" t="n"/>
      <c r="F518" s="5" t="n"/>
      <c r="G518" s="6" t="n"/>
      <c r="H518" s="4" t="n"/>
      <c r="I518" s="7" t="n"/>
      <c r="J518" s="4" t="n"/>
    </row>
    <row r="519" ht="22" customHeight="1">
      <c r="A519" s="3">
        <f>IF(C519="","",ROW()-2)</f>
        <v/>
      </c>
      <c r="B519" s="3" t="n"/>
      <c r="C519" s="3" t="n"/>
      <c r="D519" s="4" t="n"/>
      <c r="E519" s="4" t="n"/>
      <c r="F519" s="5" t="n"/>
      <c r="G519" s="6" t="n"/>
      <c r="H519" s="4" t="n"/>
      <c r="I519" s="7" t="n"/>
      <c r="J519" s="4" t="n"/>
    </row>
    <row r="520" ht="22" customHeight="1">
      <c r="A520" s="3">
        <f>IF(C520="","",ROW()-2)</f>
        <v/>
      </c>
      <c r="B520" s="3" t="n"/>
      <c r="C520" s="3" t="n"/>
      <c r="D520" s="4" t="n"/>
      <c r="E520" s="4" t="n"/>
      <c r="F520" s="5" t="n"/>
      <c r="G520" s="6" t="n"/>
      <c r="H520" s="4" t="n"/>
      <c r="I520" s="7" t="n"/>
      <c r="J520" s="4" t="n"/>
    </row>
    <row r="521" ht="22" customHeight="1">
      <c r="A521" s="3">
        <f>IF(C521="","",ROW()-2)</f>
        <v/>
      </c>
      <c r="B521" s="3" t="n"/>
      <c r="C521" s="3" t="n"/>
      <c r="D521" s="4" t="n"/>
      <c r="E521" s="4" t="n"/>
      <c r="F521" s="5" t="n"/>
      <c r="G521" s="6" t="n"/>
      <c r="H521" s="4" t="n"/>
      <c r="I521" s="7" t="n"/>
      <c r="J521" s="4" t="n"/>
    </row>
    <row r="522" ht="22" customHeight="1">
      <c r="A522" s="3">
        <f>IF(C522="","",ROW()-2)</f>
        <v/>
      </c>
      <c r="B522" s="3" t="n"/>
      <c r="C522" s="3" t="n"/>
      <c r="D522" s="4" t="n"/>
      <c r="E522" s="4" t="n"/>
      <c r="F522" s="5" t="n"/>
      <c r="G522" s="6" t="n"/>
      <c r="H522" s="4" t="n"/>
      <c r="I522" s="7" t="n"/>
      <c r="J522" s="4" t="n"/>
    </row>
    <row r="523" ht="22" customHeight="1">
      <c r="A523" s="3">
        <f>IF(C523="","",ROW()-2)</f>
        <v/>
      </c>
      <c r="B523" s="3" t="n"/>
      <c r="C523" s="3" t="n"/>
      <c r="D523" s="4" t="n"/>
      <c r="E523" s="4" t="n"/>
      <c r="F523" s="5" t="n"/>
      <c r="G523" s="6" t="n"/>
      <c r="H523" s="4" t="n"/>
      <c r="I523" s="7" t="n"/>
      <c r="J523" s="4" t="n"/>
    </row>
    <row r="524" ht="22" customHeight="1">
      <c r="A524" s="3">
        <f>IF(C524="","",ROW()-2)</f>
        <v/>
      </c>
      <c r="B524" s="3" t="n"/>
      <c r="C524" s="3" t="n"/>
      <c r="D524" s="4" t="n"/>
      <c r="E524" s="4" t="n"/>
      <c r="F524" s="5" t="n"/>
      <c r="G524" s="6" t="n"/>
      <c r="H524" s="4" t="n"/>
      <c r="I524" s="7" t="n"/>
      <c r="J524" s="4" t="n"/>
    </row>
    <row r="525" ht="22" customHeight="1">
      <c r="A525" s="3">
        <f>IF(C525="","",ROW()-2)</f>
        <v/>
      </c>
      <c r="B525" s="3" t="n"/>
      <c r="C525" s="3" t="n"/>
      <c r="D525" s="4" t="n"/>
      <c r="E525" s="4" t="n"/>
      <c r="F525" s="5" t="n"/>
      <c r="G525" s="6" t="n"/>
      <c r="H525" s="4" t="n"/>
      <c r="I525" s="7" t="n"/>
      <c r="J525" s="4" t="n"/>
    </row>
    <row r="526" ht="22" customHeight="1">
      <c r="A526" s="3">
        <f>IF(C526="","",ROW()-2)</f>
        <v/>
      </c>
      <c r="B526" s="3" t="n"/>
      <c r="C526" s="3" t="n"/>
      <c r="D526" s="4" t="n"/>
      <c r="E526" s="4" t="n"/>
      <c r="F526" s="5" t="n"/>
      <c r="G526" s="6" t="n"/>
      <c r="H526" s="4" t="n"/>
      <c r="I526" s="7" t="n"/>
      <c r="J526" s="4" t="n"/>
    </row>
    <row r="527" ht="22" customHeight="1">
      <c r="A527" s="3">
        <f>IF(C527="","",ROW()-2)</f>
        <v/>
      </c>
      <c r="B527" s="3" t="n"/>
      <c r="C527" s="3" t="n"/>
      <c r="D527" s="4" t="n"/>
      <c r="E527" s="4" t="n"/>
      <c r="F527" s="5" t="n"/>
      <c r="G527" s="6" t="n"/>
      <c r="H527" s="4" t="n"/>
      <c r="I527" s="7" t="n"/>
      <c r="J527" s="4" t="n"/>
    </row>
    <row r="528" ht="22" customHeight="1">
      <c r="A528" s="3">
        <f>IF(C528="","",ROW()-2)</f>
        <v/>
      </c>
      <c r="B528" s="3" t="n"/>
      <c r="C528" s="3" t="n"/>
      <c r="D528" s="4" t="n"/>
      <c r="E528" s="4" t="n"/>
      <c r="F528" s="5" t="n"/>
      <c r="G528" s="6" t="n"/>
      <c r="H528" s="4" t="n"/>
      <c r="I528" s="7" t="n"/>
      <c r="J528" s="4" t="n"/>
    </row>
    <row r="529" ht="22" customHeight="1">
      <c r="A529" s="3">
        <f>IF(C529="","",ROW()-2)</f>
        <v/>
      </c>
      <c r="B529" s="3" t="n"/>
      <c r="C529" s="3" t="n"/>
      <c r="D529" s="4" t="n"/>
      <c r="E529" s="4" t="n"/>
      <c r="F529" s="5" t="n"/>
      <c r="G529" s="6" t="n"/>
      <c r="H529" s="4" t="n"/>
      <c r="I529" s="7" t="n"/>
      <c r="J529" s="4" t="n"/>
    </row>
    <row r="530" ht="22" customHeight="1">
      <c r="A530" s="3">
        <f>IF(C530="","",ROW()-2)</f>
        <v/>
      </c>
      <c r="B530" s="3" t="n"/>
      <c r="C530" s="3" t="n"/>
      <c r="D530" s="4" t="n"/>
      <c r="E530" s="4" t="n"/>
      <c r="F530" s="5" t="n"/>
      <c r="G530" s="6" t="n"/>
      <c r="H530" s="4" t="n"/>
      <c r="I530" s="7" t="n"/>
      <c r="J530" s="4" t="n"/>
    </row>
    <row r="531" ht="22" customHeight="1">
      <c r="A531" s="3">
        <f>IF(C531="","",ROW()-2)</f>
        <v/>
      </c>
      <c r="B531" s="3" t="n"/>
      <c r="C531" s="3" t="n"/>
      <c r="D531" s="4" t="n"/>
      <c r="E531" s="4" t="n"/>
      <c r="F531" s="5" t="n"/>
      <c r="G531" s="6" t="n"/>
      <c r="H531" s="4" t="n"/>
      <c r="I531" s="7" t="n"/>
      <c r="J531" s="4" t="n"/>
    </row>
    <row r="532" ht="22" customHeight="1">
      <c r="A532" s="3">
        <f>IF(C532="","",ROW()-2)</f>
        <v/>
      </c>
      <c r="B532" s="3" t="n"/>
      <c r="C532" s="3" t="n"/>
      <c r="D532" s="4" t="n"/>
      <c r="E532" s="4" t="n"/>
      <c r="F532" s="5" t="n"/>
      <c r="G532" s="6" t="n"/>
      <c r="H532" s="4" t="n"/>
      <c r="I532" s="7" t="n"/>
      <c r="J532" s="4" t="n"/>
    </row>
    <row r="533" ht="22" customHeight="1">
      <c r="A533" s="3">
        <f>IF(C533="","",ROW()-2)</f>
        <v/>
      </c>
      <c r="B533" s="3" t="n"/>
      <c r="C533" s="3" t="n"/>
      <c r="D533" s="4" t="n"/>
      <c r="E533" s="4" t="n"/>
      <c r="F533" s="5" t="n"/>
      <c r="G533" s="6" t="n"/>
      <c r="H533" s="4" t="n"/>
      <c r="I533" s="7" t="n"/>
      <c r="J533" s="4" t="n"/>
    </row>
    <row r="534" ht="22" customHeight="1">
      <c r="A534" s="3">
        <f>IF(C534="","",ROW()-2)</f>
        <v/>
      </c>
      <c r="B534" s="3" t="n"/>
      <c r="C534" s="3" t="n"/>
      <c r="D534" s="4" t="n"/>
      <c r="E534" s="4" t="n"/>
      <c r="F534" s="5" t="n"/>
      <c r="G534" s="6" t="n"/>
      <c r="H534" s="4" t="n"/>
      <c r="I534" s="7" t="n"/>
      <c r="J534" s="4" t="n"/>
    </row>
    <row r="535" ht="22" customHeight="1">
      <c r="A535" s="3">
        <f>IF(C535="","",ROW()-2)</f>
        <v/>
      </c>
      <c r="B535" s="3" t="n"/>
      <c r="C535" s="3" t="n"/>
      <c r="D535" s="4" t="n"/>
      <c r="E535" s="4" t="n"/>
      <c r="F535" s="5" t="n"/>
      <c r="G535" s="6" t="n"/>
      <c r="H535" s="4" t="n"/>
      <c r="I535" s="7" t="n"/>
      <c r="J535" s="4" t="n"/>
    </row>
    <row r="536" ht="22" customHeight="1">
      <c r="A536" s="3">
        <f>IF(C536="","",ROW()-2)</f>
        <v/>
      </c>
      <c r="B536" s="3" t="n"/>
      <c r="C536" s="3" t="n"/>
      <c r="D536" s="4" t="n"/>
      <c r="E536" s="4" t="n"/>
      <c r="F536" s="5" t="n"/>
      <c r="G536" s="6" t="n"/>
      <c r="H536" s="4" t="n"/>
      <c r="I536" s="7" t="n"/>
      <c r="J536" s="4" t="n"/>
    </row>
    <row r="537" ht="22" customHeight="1">
      <c r="A537" s="3">
        <f>IF(C537="","",ROW()-2)</f>
        <v/>
      </c>
      <c r="B537" s="3" t="n"/>
      <c r="C537" s="3" t="n"/>
      <c r="D537" s="4" t="n"/>
      <c r="E537" s="4" t="n"/>
      <c r="F537" s="5" t="n"/>
      <c r="G537" s="6" t="n"/>
      <c r="H537" s="4" t="n"/>
      <c r="I537" s="7" t="n"/>
      <c r="J537" s="4" t="n"/>
    </row>
    <row r="538" ht="22" customHeight="1">
      <c r="A538" s="3">
        <f>IF(C538="","",ROW()-2)</f>
        <v/>
      </c>
      <c r="B538" s="3" t="n"/>
      <c r="C538" s="3" t="n"/>
      <c r="D538" s="4" t="n"/>
      <c r="E538" s="4" t="n"/>
      <c r="F538" s="5" t="n"/>
      <c r="G538" s="6" t="n"/>
      <c r="H538" s="4" t="n"/>
      <c r="I538" s="7" t="n"/>
      <c r="J538" s="4" t="n"/>
    </row>
    <row r="539" ht="22" customHeight="1">
      <c r="A539" s="3">
        <f>IF(C539="","",ROW()-2)</f>
        <v/>
      </c>
      <c r="B539" s="3" t="n"/>
      <c r="C539" s="3" t="n"/>
      <c r="D539" s="4" t="n"/>
      <c r="E539" s="4" t="n"/>
      <c r="F539" s="5" t="n"/>
      <c r="G539" s="6" t="n"/>
      <c r="H539" s="4" t="n"/>
      <c r="I539" s="7" t="n"/>
      <c r="J539" s="4" t="n"/>
    </row>
    <row r="540" ht="22" customHeight="1">
      <c r="A540" s="3">
        <f>IF(C540="","",ROW()-2)</f>
        <v/>
      </c>
      <c r="B540" s="3" t="n"/>
      <c r="C540" s="3" t="n"/>
      <c r="D540" s="4" t="n"/>
      <c r="E540" s="4" t="n"/>
      <c r="F540" s="5" t="n"/>
      <c r="G540" s="6" t="n"/>
      <c r="H540" s="4" t="n"/>
      <c r="I540" s="7" t="n"/>
      <c r="J540" s="4" t="n"/>
    </row>
    <row r="541" ht="22" customHeight="1">
      <c r="A541" s="3">
        <f>IF(C541="","",ROW()-2)</f>
        <v/>
      </c>
      <c r="B541" s="3" t="n"/>
      <c r="C541" s="3" t="n"/>
      <c r="D541" s="4" t="n"/>
      <c r="E541" s="4" t="n"/>
      <c r="F541" s="5" t="n"/>
      <c r="G541" s="6" t="n"/>
      <c r="H541" s="4" t="n"/>
      <c r="I541" s="7" t="n"/>
      <c r="J541" s="4" t="n"/>
    </row>
    <row r="542" ht="22" customHeight="1">
      <c r="A542" s="3">
        <f>IF(C542="","",ROW()-2)</f>
        <v/>
      </c>
      <c r="B542" s="3" t="n"/>
      <c r="C542" s="3" t="n"/>
      <c r="D542" s="4" t="n"/>
      <c r="E542" s="4" t="n"/>
      <c r="F542" s="5" t="n"/>
      <c r="G542" s="6" t="n"/>
      <c r="H542" s="4" t="n"/>
      <c r="I542" s="7" t="n"/>
      <c r="J542" s="4" t="n"/>
    </row>
    <row r="543" ht="22" customHeight="1">
      <c r="A543" s="3">
        <f>IF(C543="","",ROW()-2)</f>
        <v/>
      </c>
      <c r="B543" s="3" t="n"/>
      <c r="C543" s="3" t="n"/>
      <c r="D543" s="4" t="n"/>
      <c r="E543" s="4" t="n"/>
      <c r="F543" s="5" t="n"/>
      <c r="G543" s="6" t="n"/>
      <c r="H543" s="4" t="n"/>
      <c r="I543" s="7" t="n"/>
      <c r="J543" s="4" t="n"/>
    </row>
    <row r="544" ht="22" customHeight="1">
      <c r="A544" s="3">
        <f>IF(C544="","",ROW()-2)</f>
        <v/>
      </c>
      <c r="B544" s="3" t="n"/>
      <c r="C544" s="3" t="n"/>
      <c r="D544" s="4" t="n"/>
      <c r="E544" s="4" t="n"/>
      <c r="F544" s="5" t="n"/>
      <c r="G544" s="6" t="n"/>
      <c r="H544" s="4" t="n"/>
      <c r="I544" s="7" t="n"/>
      <c r="J544" s="4" t="n"/>
    </row>
    <row r="545" ht="22" customHeight="1">
      <c r="A545" s="3">
        <f>IF(C545="","",ROW()-2)</f>
        <v/>
      </c>
      <c r="B545" s="3" t="n"/>
      <c r="C545" s="3" t="n"/>
      <c r="D545" s="4" t="n"/>
      <c r="E545" s="4" t="n"/>
      <c r="F545" s="5" t="n"/>
      <c r="G545" s="6" t="n"/>
      <c r="H545" s="4" t="n"/>
      <c r="I545" s="7" t="n"/>
      <c r="J545" s="4" t="n"/>
    </row>
    <row r="546" ht="22" customHeight="1">
      <c r="A546" s="3">
        <f>IF(C546="","",ROW()-2)</f>
        <v/>
      </c>
      <c r="B546" s="3" t="n"/>
      <c r="C546" s="3" t="n"/>
      <c r="D546" s="4" t="n"/>
      <c r="E546" s="4" t="n"/>
      <c r="F546" s="5" t="n"/>
      <c r="G546" s="6" t="n"/>
      <c r="H546" s="4" t="n"/>
      <c r="I546" s="7" t="n"/>
      <c r="J546" s="4" t="n"/>
    </row>
    <row r="547" ht="22" customHeight="1">
      <c r="A547" s="3">
        <f>IF(C547="","",ROW()-2)</f>
        <v/>
      </c>
      <c r="B547" s="3" t="n"/>
      <c r="C547" s="3" t="n"/>
      <c r="D547" s="4" t="n"/>
      <c r="E547" s="4" t="n"/>
      <c r="F547" s="5" t="n"/>
      <c r="G547" s="6" t="n"/>
      <c r="H547" s="4" t="n"/>
      <c r="I547" s="7" t="n"/>
      <c r="J547" s="4" t="n"/>
    </row>
    <row r="548" ht="22" customHeight="1">
      <c r="A548" s="3">
        <f>IF(C548="","",ROW()-2)</f>
        <v/>
      </c>
      <c r="B548" s="3" t="n"/>
      <c r="C548" s="3" t="n"/>
      <c r="D548" s="4" t="n"/>
      <c r="E548" s="4" t="n"/>
      <c r="F548" s="5" t="n"/>
      <c r="G548" s="6" t="n"/>
      <c r="H548" s="4" t="n"/>
      <c r="I548" s="7" t="n"/>
      <c r="J548" s="4" t="n"/>
    </row>
    <row r="549" ht="22" customHeight="1">
      <c r="A549" s="3">
        <f>IF(C549="","",ROW()-2)</f>
        <v/>
      </c>
      <c r="B549" s="3" t="n"/>
      <c r="C549" s="3" t="n"/>
      <c r="D549" s="4" t="n"/>
      <c r="E549" s="4" t="n"/>
      <c r="F549" s="5" t="n"/>
      <c r="G549" s="6" t="n"/>
      <c r="H549" s="4" t="n"/>
      <c r="I549" s="7" t="n"/>
      <c r="J549" s="4" t="n"/>
    </row>
    <row r="550" ht="22" customHeight="1">
      <c r="A550" s="3">
        <f>IF(C550="","",ROW()-2)</f>
        <v/>
      </c>
      <c r="B550" s="3" t="n"/>
      <c r="C550" s="3" t="n"/>
      <c r="D550" s="4" t="n"/>
      <c r="E550" s="4" t="n"/>
      <c r="F550" s="5" t="n"/>
      <c r="G550" s="6" t="n"/>
      <c r="H550" s="4" t="n"/>
      <c r="I550" s="7" t="n"/>
      <c r="J550" s="4" t="n"/>
    </row>
    <row r="551" ht="22" customHeight="1">
      <c r="A551" s="3">
        <f>IF(C551="","",ROW()-2)</f>
        <v/>
      </c>
      <c r="B551" s="3" t="n"/>
      <c r="C551" s="3" t="n"/>
      <c r="D551" s="4" t="n"/>
      <c r="E551" s="4" t="n"/>
      <c r="F551" s="5" t="n"/>
      <c r="G551" s="6" t="n"/>
      <c r="H551" s="4" t="n"/>
      <c r="I551" s="7" t="n"/>
      <c r="J551" s="4" t="n"/>
    </row>
    <row r="552" ht="22" customHeight="1">
      <c r="A552" s="3">
        <f>IF(C552="","",ROW()-2)</f>
        <v/>
      </c>
      <c r="B552" s="3" t="n"/>
      <c r="C552" s="3" t="n"/>
      <c r="D552" s="4" t="n"/>
      <c r="E552" s="4" t="n"/>
      <c r="F552" s="5" t="n"/>
      <c r="G552" s="6" t="n"/>
      <c r="H552" s="4" t="n"/>
      <c r="I552" s="7" t="n"/>
      <c r="J552" s="4" t="n"/>
    </row>
    <row r="553" ht="22" customHeight="1">
      <c r="A553" s="3">
        <f>IF(C553="","",ROW()-2)</f>
        <v/>
      </c>
      <c r="B553" s="3" t="n"/>
      <c r="C553" s="3" t="n"/>
      <c r="D553" s="4" t="n"/>
      <c r="E553" s="4" t="n"/>
      <c r="F553" s="5" t="n"/>
      <c r="G553" s="6" t="n"/>
      <c r="H553" s="4" t="n"/>
      <c r="I553" s="7" t="n"/>
      <c r="J553" s="4" t="n"/>
    </row>
    <row r="554" ht="22" customHeight="1">
      <c r="A554" s="3">
        <f>IF(C554="","",ROW()-2)</f>
        <v/>
      </c>
      <c r="B554" s="3" t="n"/>
      <c r="C554" s="3" t="n"/>
      <c r="D554" s="4" t="n"/>
      <c r="E554" s="4" t="n"/>
      <c r="F554" s="5" t="n"/>
      <c r="G554" s="6" t="n"/>
      <c r="H554" s="4" t="n"/>
      <c r="I554" s="7" t="n"/>
      <c r="J554" s="4" t="n"/>
    </row>
    <row r="555" ht="22" customHeight="1">
      <c r="A555" s="3">
        <f>IF(C555="","",ROW()-2)</f>
        <v/>
      </c>
      <c r="B555" s="3" t="n"/>
      <c r="C555" s="3" t="n"/>
      <c r="D555" s="4" t="n"/>
      <c r="E555" s="4" t="n"/>
      <c r="F555" s="5" t="n"/>
      <c r="G555" s="6" t="n"/>
      <c r="H555" s="4" t="n"/>
      <c r="I555" s="7" t="n"/>
      <c r="J555" s="4" t="n"/>
    </row>
    <row r="556" ht="22" customHeight="1">
      <c r="A556" s="3">
        <f>IF(C556="","",ROW()-2)</f>
        <v/>
      </c>
      <c r="B556" s="3" t="n"/>
      <c r="C556" s="3" t="n"/>
      <c r="D556" s="4" t="n"/>
      <c r="E556" s="4" t="n"/>
      <c r="F556" s="5" t="n"/>
      <c r="G556" s="6" t="n"/>
      <c r="H556" s="4" t="n"/>
      <c r="I556" s="7" t="n"/>
      <c r="J556" s="4" t="n"/>
    </row>
    <row r="557" ht="22" customHeight="1">
      <c r="A557" s="3">
        <f>IF(C557="","",ROW()-2)</f>
        <v/>
      </c>
      <c r="B557" s="3" t="n"/>
      <c r="C557" s="3" t="n"/>
      <c r="D557" s="4" t="n"/>
      <c r="E557" s="4" t="n"/>
      <c r="F557" s="5" t="n"/>
      <c r="G557" s="6" t="n"/>
      <c r="H557" s="4" t="n"/>
      <c r="I557" s="7" t="n"/>
      <c r="J557" s="4" t="n"/>
    </row>
    <row r="558" ht="22" customHeight="1">
      <c r="A558" s="3">
        <f>IF(C558="","",ROW()-2)</f>
        <v/>
      </c>
      <c r="B558" s="3" t="n"/>
      <c r="C558" s="3" t="n"/>
      <c r="D558" s="4" t="n"/>
      <c r="E558" s="4" t="n"/>
      <c r="F558" s="5" t="n"/>
      <c r="G558" s="6" t="n"/>
      <c r="H558" s="4" t="n"/>
      <c r="I558" s="7" t="n"/>
      <c r="J558" s="4" t="n"/>
    </row>
    <row r="559" ht="22" customHeight="1">
      <c r="A559" s="3">
        <f>IF(C559="","",ROW()-2)</f>
        <v/>
      </c>
      <c r="B559" s="3" t="n"/>
      <c r="C559" s="3" t="n"/>
      <c r="D559" s="4" t="n"/>
      <c r="E559" s="4" t="n"/>
      <c r="F559" s="5" t="n"/>
      <c r="G559" s="6" t="n"/>
      <c r="H559" s="4" t="n"/>
      <c r="I559" s="7" t="n"/>
      <c r="J559" s="4" t="n"/>
    </row>
    <row r="560" ht="22" customHeight="1">
      <c r="A560" s="3">
        <f>IF(C560="","",ROW()-2)</f>
        <v/>
      </c>
      <c r="B560" s="3" t="n"/>
      <c r="C560" s="3" t="n"/>
      <c r="D560" s="4" t="n"/>
      <c r="E560" s="4" t="n"/>
      <c r="F560" s="5" t="n"/>
      <c r="G560" s="6" t="n"/>
      <c r="H560" s="4" t="n"/>
      <c r="I560" s="7" t="n"/>
      <c r="J560" s="4" t="n"/>
    </row>
    <row r="561" ht="22" customHeight="1">
      <c r="A561" s="3">
        <f>IF(C561="","",ROW()-2)</f>
        <v/>
      </c>
      <c r="B561" s="3" t="n"/>
      <c r="C561" s="3" t="n"/>
      <c r="D561" s="4" t="n"/>
      <c r="E561" s="4" t="n"/>
      <c r="F561" s="5" t="n"/>
      <c r="G561" s="6" t="n"/>
      <c r="H561" s="4" t="n"/>
      <c r="I561" s="7" t="n"/>
      <c r="J561" s="4" t="n"/>
    </row>
    <row r="562" ht="22" customHeight="1">
      <c r="A562" s="3">
        <f>IF(C562="","",ROW()-2)</f>
        <v/>
      </c>
      <c r="B562" s="3" t="n"/>
      <c r="C562" s="3" t="n"/>
      <c r="D562" s="4" t="n"/>
      <c r="E562" s="4" t="n"/>
      <c r="F562" s="5" t="n"/>
      <c r="G562" s="6" t="n"/>
      <c r="H562" s="4" t="n"/>
      <c r="I562" s="7" t="n"/>
      <c r="J562" s="4" t="n"/>
    </row>
    <row r="563" ht="22" customHeight="1">
      <c r="A563" s="3">
        <f>IF(C563="","",ROW()-2)</f>
        <v/>
      </c>
      <c r="B563" s="3" t="n"/>
      <c r="C563" s="3" t="n"/>
      <c r="D563" s="4" t="n"/>
      <c r="E563" s="4" t="n"/>
      <c r="F563" s="5" t="n"/>
      <c r="G563" s="6" t="n"/>
      <c r="H563" s="4" t="n"/>
      <c r="I563" s="7" t="n"/>
      <c r="J563" s="4" t="n"/>
    </row>
    <row r="564" ht="22" customHeight="1">
      <c r="A564" s="3">
        <f>IF(C564="","",ROW()-2)</f>
        <v/>
      </c>
      <c r="B564" s="3" t="n"/>
      <c r="C564" s="3" t="n"/>
      <c r="D564" s="4" t="n"/>
      <c r="E564" s="4" t="n"/>
      <c r="F564" s="5" t="n"/>
      <c r="G564" s="6" t="n"/>
      <c r="H564" s="4" t="n"/>
      <c r="I564" s="7" t="n"/>
      <c r="J564" s="4" t="n"/>
    </row>
    <row r="565" ht="22" customHeight="1">
      <c r="A565" s="3">
        <f>IF(C565="","",ROW()-2)</f>
        <v/>
      </c>
      <c r="B565" s="3" t="n"/>
      <c r="C565" s="3" t="n"/>
      <c r="D565" s="4" t="n"/>
      <c r="E565" s="4" t="n"/>
      <c r="F565" s="5" t="n"/>
      <c r="G565" s="6" t="n"/>
      <c r="H565" s="4" t="n"/>
      <c r="I565" s="7" t="n"/>
      <c r="J565" s="4" t="n"/>
    </row>
    <row r="566" ht="22" customHeight="1">
      <c r="A566" s="3">
        <f>IF(C566="","",ROW()-2)</f>
        <v/>
      </c>
      <c r="B566" s="3" t="n"/>
      <c r="C566" s="3" t="n"/>
      <c r="D566" s="4" t="n"/>
      <c r="E566" s="4" t="n"/>
      <c r="F566" s="5" t="n"/>
      <c r="G566" s="6" t="n"/>
      <c r="H566" s="4" t="n"/>
      <c r="I566" s="7" t="n"/>
      <c r="J566" s="4" t="n"/>
    </row>
    <row r="567" ht="22" customHeight="1">
      <c r="A567" s="3">
        <f>IF(C567="","",ROW()-2)</f>
        <v/>
      </c>
      <c r="B567" s="3" t="n"/>
      <c r="C567" s="3" t="n"/>
      <c r="D567" s="4" t="n"/>
      <c r="E567" s="4" t="n"/>
      <c r="F567" s="5" t="n"/>
      <c r="G567" s="6" t="n"/>
      <c r="H567" s="4" t="n"/>
      <c r="I567" s="7" t="n"/>
      <c r="J567" s="4" t="n"/>
    </row>
    <row r="568" ht="22" customHeight="1">
      <c r="A568" s="3">
        <f>IF(C568="","",ROW()-2)</f>
        <v/>
      </c>
      <c r="B568" s="3" t="n"/>
      <c r="C568" s="3" t="n"/>
      <c r="D568" s="4" t="n"/>
      <c r="E568" s="4" t="n"/>
      <c r="F568" s="5" t="n"/>
      <c r="G568" s="6" t="n"/>
      <c r="H568" s="4" t="n"/>
      <c r="I568" s="7" t="n"/>
      <c r="J568" s="4" t="n"/>
    </row>
    <row r="569" ht="22" customHeight="1">
      <c r="A569" s="3">
        <f>IF(C569="","",ROW()-2)</f>
        <v/>
      </c>
      <c r="B569" s="3" t="n"/>
      <c r="C569" s="3" t="n"/>
      <c r="D569" s="4" t="n"/>
      <c r="E569" s="4" t="n"/>
      <c r="F569" s="5" t="n"/>
      <c r="G569" s="6" t="n"/>
      <c r="H569" s="4" t="n"/>
      <c r="I569" s="7" t="n"/>
      <c r="J569" s="4" t="n"/>
    </row>
    <row r="570" ht="22" customHeight="1">
      <c r="A570" s="3">
        <f>IF(C570="","",ROW()-2)</f>
        <v/>
      </c>
      <c r="B570" s="3" t="n"/>
      <c r="C570" s="3" t="n"/>
      <c r="D570" s="4" t="n"/>
      <c r="E570" s="4" t="n"/>
      <c r="F570" s="5" t="n"/>
      <c r="G570" s="6" t="n"/>
      <c r="H570" s="4" t="n"/>
      <c r="I570" s="7" t="n"/>
      <c r="J570" s="4" t="n"/>
    </row>
    <row r="571" ht="22" customHeight="1">
      <c r="A571" s="3">
        <f>IF(C571="","",ROW()-2)</f>
        <v/>
      </c>
      <c r="B571" s="3" t="n"/>
      <c r="C571" s="3" t="n"/>
      <c r="D571" s="4" t="n"/>
      <c r="E571" s="4" t="n"/>
      <c r="F571" s="5" t="n"/>
      <c r="G571" s="6" t="n"/>
      <c r="H571" s="4" t="n"/>
      <c r="I571" s="7" t="n"/>
      <c r="J571" s="4" t="n"/>
    </row>
    <row r="572" ht="22" customHeight="1">
      <c r="A572" s="3">
        <f>IF(C572="","",ROW()-2)</f>
        <v/>
      </c>
      <c r="B572" s="3" t="n"/>
      <c r="C572" s="3" t="n"/>
      <c r="D572" s="4" t="n"/>
      <c r="E572" s="4" t="n"/>
      <c r="F572" s="5" t="n"/>
      <c r="G572" s="6" t="n"/>
      <c r="H572" s="4" t="n"/>
      <c r="I572" s="7" t="n"/>
      <c r="J572" s="4" t="n"/>
    </row>
    <row r="573" ht="22" customHeight="1">
      <c r="A573" s="3">
        <f>IF(C573="","",ROW()-2)</f>
        <v/>
      </c>
      <c r="B573" s="3" t="n"/>
      <c r="C573" s="3" t="n"/>
      <c r="D573" s="4" t="n"/>
      <c r="E573" s="4" t="n"/>
      <c r="F573" s="5" t="n"/>
      <c r="G573" s="6" t="n"/>
      <c r="H573" s="4" t="n"/>
      <c r="I573" s="7" t="n"/>
      <c r="J573" s="4" t="n"/>
    </row>
    <row r="574" ht="22" customHeight="1">
      <c r="A574" s="3">
        <f>IF(C574="","",ROW()-2)</f>
        <v/>
      </c>
      <c r="B574" s="3" t="n"/>
      <c r="C574" s="3" t="n"/>
      <c r="D574" s="4" t="n"/>
      <c r="E574" s="4" t="n"/>
      <c r="F574" s="5" t="n"/>
      <c r="G574" s="6" t="n"/>
      <c r="H574" s="4" t="n"/>
      <c r="I574" s="7" t="n"/>
      <c r="J574" s="4" t="n"/>
    </row>
    <row r="575" ht="22" customHeight="1">
      <c r="A575" s="3">
        <f>IF(C575="","",ROW()-2)</f>
        <v/>
      </c>
      <c r="B575" s="3" t="n"/>
      <c r="C575" s="3" t="n"/>
      <c r="D575" s="4" t="n"/>
      <c r="E575" s="4" t="n"/>
      <c r="F575" s="5" t="n"/>
      <c r="G575" s="6" t="n"/>
      <c r="H575" s="4" t="n"/>
      <c r="I575" s="7" t="n"/>
      <c r="J575" s="4" t="n"/>
    </row>
    <row r="576" ht="22" customHeight="1">
      <c r="A576" s="3">
        <f>IF(C576="","",ROW()-2)</f>
        <v/>
      </c>
      <c r="B576" s="3" t="n"/>
      <c r="C576" s="3" t="n"/>
      <c r="D576" s="4" t="n"/>
      <c r="E576" s="4" t="n"/>
      <c r="F576" s="5" t="n"/>
      <c r="G576" s="6" t="n"/>
      <c r="H576" s="4" t="n"/>
      <c r="I576" s="7" t="n"/>
      <c r="J576" s="4" t="n"/>
    </row>
    <row r="577" ht="22" customHeight="1">
      <c r="A577" s="3">
        <f>IF(C577="","",ROW()-2)</f>
        <v/>
      </c>
      <c r="B577" s="3" t="n"/>
      <c r="C577" s="3" t="n"/>
      <c r="D577" s="4" t="n"/>
      <c r="E577" s="4" t="n"/>
      <c r="F577" s="5" t="n"/>
      <c r="G577" s="6" t="n"/>
      <c r="H577" s="4" t="n"/>
      <c r="I577" s="7" t="n"/>
      <c r="J577" s="4" t="n"/>
    </row>
    <row r="578" ht="22" customHeight="1">
      <c r="A578" s="3">
        <f>IF(C578="","",ROW()-2)</f>
        <v/>
      </c>
      <c r="B578" s="3" t="n"/>
      <c r="C578" s="3" t="n"/>
      <c r="D578" s="4" t="n"/>
      <c r="E578" s="4" t="n"/>
      <c r="F578" s="5" t="n"/>
      <c r="G578" s="6" t="n"/>
      <c r="H578" s="4" t="n"/>
      <c r="I578" s="7" t="n"/>
      <c r="J578" s="4" t="n"/>
    </row>
    <row r="579" ht="22" customHeight="1">
      <c r="A579" s="3">
        <f>IF(C579="","",ROW()-2)</f>
        <v/>
      </c>
      <c r="B579" s="3" t="n"/>
      <c r="C579" s="3" t="n"/>
      <c r="D579" s="4" t="n"/>
      <c r="E579" s="4" t="n"/>
      <c r="F579" s="5" t="n"/>
      <c r="G579" s="6" t="n"/>
      <c r="H579" s="4" t="n"/>
      <c r="I579" s="7" t="n"/>
      <c r="J579" s="4" t="n"/>
    </row>
    <row r="580" ht="22" customHeight="1">
      <c r="A580" s="3">
        <f>IF(C580="","",ROW()-2)</f>
        <v/>
      </c>
      <c r="B580" s="3" t="n"/>
      <c r="C580" s="3" t="n"/>
      <c r="D580" s="4" t="n"/>
      <c r="E580" s="4" t="n"/>
      <c r="F580" s="5" t="n"/>
      <c r="G580" s="6" t="n"/>
      <c r="H580" s="4" t="n"/>
      <c r="I580" s="7" t="n"/>
      <c r="J580" s="4" t="n"/>
    </row>
    <row r="581" ht="22" customHeight="1">
      <c r="A581" s="3">
        <f>IF(C581="","",ROW()-2)</f>
        <v/>
      </c>
      <c r="B581" s="3" t="n"/>
      <c r="C581" s="3" t="n"/>
      <c r="D581" s="4" t="n"/>
      <c r="E581" s="4" t="n"/>
      <c r="F581" s="5" t="n"/>
      <c r="G581" s="6" t="n"/>
      <c r="H581" s="4" t="n"/>
      <c r="I581" s="7" t="n"/>
      <c r="J581" s="4" t="n"/>
    </row>
    <row r="582" ht="22" customHeight="1">
      <c r="A582" s="3">
        <f>IF(C582="","",ROW()-2)</f>
        <v/>
      </c>
      <c r="B582" s="3" t="n"/>
      <c r="C582" s="3" t="n"/>
      <c r="D582" s="4" t="n"/>
      <c r="E582" s="4" t="n"/>
      <c r="F582" s="5" t="n"/>
      <c r="G582" s="6" t="n"/>
      <c r="H582" s="4" t="n"/>
      <c r="I582" s="7" t="n"/>
      <c r="J582" s="4" t="n"/>
    </row>
    <row r="583" ht="22" customHeight="1">
      <c r="A583" s="3">
        <f>IF(C583="","",ROW()-2)</f>
        <v/>
      </c>
      <c r="B583" s="3" t="n"/>
      <c r="C583" s="3" t="n"/>
      <c r="D583" s="4" t="n"/>
      <c r="E583" s="4" t="n"/>
      <c r="F583" s="5" t="n"/>
      <c r="G583" s="6" t="n"/>
      <c r="H583" s="4" t="n"/>
      <c r="I583" s="7" t="n"/>
      <c r="J583" s="4" t="n"/>
    </row>
    <row r="584" ht="22" customHeight="1">
      <c r="A584" s="3">
        <f>IF(C584="","",ROW()-2)</f>
        <v/>
      </c>
      <c r="B584" s="3" t="n"/>
      <c r="C584" s="3" t="n"/>
      <c r="D584" s="4" t="n"/>
      <c r="E584" s="4" t="n"/>
      <c r="F584" s="5" t="n"/>
      <c r="G584" s="6" t="n"/>
      <c r="H584" s="4" t="n"/>
      <c r="I584" s="7" t="n"/>
      <c r="J584" s="4" t="n"/>
    </row>
    <row r="585" ht="22" customHeight="1">
      <c r="A585" s="3">
        <f>IF(C585="","",ROW()-2)</f>
        <v/>
      </c>
      <c r="B585" s="3" t="n"/>
      <c r="C585" s="3" t="n"/>
      <c r="D585" s="4" t="n"/>
      <c r="E585" s="4" t="n"/>
      <c r="F585" s="5" t="n"/>
      <c r="G585" s="6" t="n"/>
      <c r="H585" s="4" t="n"/>
      <c r="I585" s="7" t="n"/>
      <c r="J585" s="4" t="n"/>
    </row>
    <row r="586" ht="22" customHeight="1">
      <c r="A586" s="3">
        <f>IF(C586="","",ROW()-2)</f>
        <v/>
      </c>
      <c r="B586" s="3" t="n"/>
      <c r="C586" s="3" t="n"/>
      <c r="D586" s="4" t="n"/>
      <c r="E586" s="4" t="n"/>
      <c r="F586" s="5" t="n"/>
      <c r="G586" s="6" t="n"/>
      <c r="H586" s="4" t="n"/>
      <c r="I586" s="7" t="n"/>
      <c r="J586" s="4" t="n"/>
    </row>
    <row r="587" ht="22" customHeight="1">
      <c r="A587" s="3">
        <f>IF(C587="","",ROW()-2)</f>
        <v/>
      </c>
      <c r="B587" s="3" t="n"/>
      <c r="C587" s="3" t="n"/>
      <c r="D587" s="4" t="n"/>
      <c r="E587" s="4" t="n"/>
      <c r="F587" s="5" t="n"/>
      <c r="G587" s="6" t="n"/>
      <c r="H587" s="4" t="n"/>
      <c r="I587" s="7" t="n"/>
      <c r="J587" s="4" t="n"/>
    </row>
    <row r="588" ht="22" customHeight="1">
      <c r="A588" s="3">
        <f>IF(C588="","",ROW()-2)</f>
        <v/>
      </c>
      <c r="B588" s="3" t="n"/>
      <c r="C588" s="3" t="n"/>
      <c r="D588" s="4" t="n"/>
      <c r="E588" s="4" t="n"/>
      <c r="F588" s="5" t="n"/>
      <c r="G588" s="6" t="n"/>
      <c r="H588" s="4" t="n"/>
      <c r="I588" s="7" t="n"/>
      <c r="J588" s="4" t="n"/>
    </row>
    <row r="589" ht="22" customHeight="1">
      <c r="A589" s="3">
        <f>IF(C589="","",ROW()-2)</f>
        <v/>
      </c>
      <c r="B589" s="3" t="n"/>
      <c r="C589" s="3" t="n"/>
      <c r="D589" s="4" t="n"/>
      <c r="E589" s="4" t="n"/>
      <c r="F589" s="5" t="n"/>
      <c r="G589" s="6" t="n"/>
      <c r="H589" s="4" t="n"/>
      <c r="I589" s="7" t="n"/>
      <c r="J589" s="4" t="n"/>
    </row>
    <row r="590" ht="22" customHeight="1">
      <c r="A590" s="3">
        <f>IF(C590="","",ROW()-2)</f>
        <v/>
      </c>
      <c r="B590" s="3" t="n"/>
      <c r="C590" s="3" t="n"/>
      <c r="D590" s="4" t="n"/>
      <c r="E590" s="4" t="n"/>
      <c r="F590" s="5" t="n"/>
      <c r="G590" s="6" t="n"/>
      <c r="H590" s="4" t="n"/>
      <c r="I590" s="7" t="n"/>
      <c r="J590" s="4" t="n"/>
    </row>
    <row r="591" ht="22" customHeight="1">
      <c r="A591" s="3">
        <f>IF(C591="","",ROW()-2)</f>
        <v/>
      </c>
      <c r="B591" s="3" t="n"/>
      <c r="C591" s="3" t="n"/>
      <c r="D591" s="4" t="n"/>
      <c r="E591" s="4" t="n"/>
      <c r="F591" s="5" t="n"/>
      <c r="G591" s="6" t="n"/>
      <c r="H591" s="4" t="n"/>
      <c r="I591" s="7" t="n"/>
      <c r="J591" s="4" t="n"/>
    </row>
    <row r="592" ht="22" customHeight="1">
      <c r="A592" s="3">
        <f>IF(C592="","",ROW()-2)</f>
        <v/>
      </c>
      <c r="B592" s="3" t="n"/>
      <c r="C592" s="3" t="n"/>
      <c r="D592" s="4" t="n"/>
      <c r="E592" s="4" t="n"/>
      <c r="F592" s="5" t="n"/>
      <c r="G592" s="6" t="n"/>
      <c r="H592" s="4" t="n"/>
      <c r="I592" s="7" t="n"/>
      <c r="J592" s="4" t="n"/>
    </row>
    <row r="593" ht="22" customHeight="1">
      <c r="A593" s="3">
        <f>IF(C593="","",ROW()-2)</f>
        <v/>
      </c>
      <c r="B593" s="3" t="n"/>
      <c r="C593" s="3" t="n"/>
      <c r="D593" s="4" t="n"/>
      <c r="E593" s="4" t="n"/>
      <c r="F593" s="5" t="n"/>
      <c r="G593" s="6" t="n"/>
      <c r="H593" s="4" t="n"/>
      <c r="I593" s="7" t="n"/>
      <c r="J593" s="4" t="n"/>
    </row>
    <row r="594" ht="22" customHeight="1">
      <c r="A594" s="3">
        <f>IF(C594="","",ROW()-2)</f>
        <v/>
      </c>
      <c r="B594" s="3" t="n"/>
      <c r="C594" s="3" t="n"/>
      <c r="D594" s="4" t="n"/>
      <c r="E594" s="4" t="n"/>
      <c r="F594" s="5" t="n"/>
      <c r="G594" s="6" t="n"/>
      <c r="H594" s="4" t="n"/>
      <c r="I594" s="7" t="n"/>
      <c r="J594" s="4" t="n"/>
    </row>
    <row r="595" ht="22" customHeight="1">
      <c r="A595" s="3">
        <f>IF(C595="","",ROW()-2)</f>
        <v/>
      </c>
      <c r="B595" s="3" t="n"/>
      <c r="C595" s="3" t="n"/>
      <c r="D595" s="4" t="n"/>
      <c r="E595" s="4" t="n"/>
      <c r="F595" s="5" t="n"/>
      <c r="G595" s="6" t="n"/>
      <c r="H595" s="4" t="n"/>
      <c r="I595" s="7" t="n"/>
      <c r="J595" s="4" t="n"/>
    </row>
    <row r="596" ht="22" customHeight="1">
      <c r="A596" s="3">
        <f>IF(C596="","",ROW()-2)</f>
        <v/>
      </c>
      <c r="B596" s="3" t="n"/>
      <c r="C596" s="3" t="n"/>
      <c r="D596" s="4" t="n"/>
      <c r="E596" s="4" t="n"/>
      <c r="F596" s="5" t="n"/>
      <c r="G596" s="6" t="n"/>
      <c r="H596" s="4" t="n"/>
      <c r="I596" s="7" t="n"/>
      <c r="J596" s="4" t="n"/>
    </row>
    <row r="597" ht="22" customHeight="1">
      <c r="A597" s="3">
        <f>IF(C597="","",ROW()-2)</f>
        <v/>
      </c>
      <c r="B597" s="3" t="n"/>
      <c r="C597" s="3" t="n"/>
      <c r="D597" s="4" t="n"/>
      <c r="E597" s="4" t="n"/>
      <c r="F597" s="5" t="n"/>
      <c r="G597" s="6" t="n"/>
      <c r="H597" s="4" t="n"/>
      <c r="I597" s="7" t="n"/>
      <c r="J597" s="4" t="n"/>
    </row>
    <row r="598" ht="22" customHeight="1">
      <c r="A598" s="3">
        <f>IF(C598="","",ROW()-2)</f>
        <v/>
      </c>
      <c r="B598" s="3" t="n"/>
      <c r="C598" s="3" t="n"/>
      <c r="D598" s="4" t="n"/>
      <c r="E598" s="4" t="n"/>
      <c r="F598" s="5" t="n"/>
      <c r="G598" s="6" t="n"/>
      <c r="H598" s="4" t="n"/>
      <c r="I598" s="7" t="n"/>
      <c r="J598" s="4" t="n"/>
    </row>
    <row r="599" ht="22" customHeight="1">
      <c r="A599" s="3">
        <f>IF(C599="","",ROW()-2)</f>
        <v/>
      </c>
      <c r="B599" s="3" t="n"/>
      <c r="C599" s="3" t="n"/>
      <c r="D599" s="4" t="n"/>
      <c r="E599" s="4" t="n"/>
      <c r="F599" s="5" t="n"/>
      <c r="G599" s="6" t="n"/>
      <c r="H599" s="4" t="n"/>
      <c r="I599" s="7" t="n"/>
      <c r="J599" s="4" t="n"/>
    </row>
    <row r="600" ht="22" customHeight="1">
      <c r="A600" s="3">
        <f>IF(C600="","",ROW()-2)</f>
        <v/>
      </c>
      <c r="B600" s="3" t="n"/>
      <c r="C600" s="3" t="n"/>
      <c r="D600" s="4" t="n"/>
      <c r="E600" s="4" t="n"/>
      <c r="F600" s="5" t="n"/>
      <c r="G600" s="6" t="n"/>
      <c r="H600" s="4" t="n"/>
      <c r="I600" s="7" t="n"/>
      <c r="J600" s="4" t="n"/>
    </row>
    <row r="601" ht="22" customHeight="1">
      <c r="A601" s="3">
        <f>IF(C601="","",ROW()-2)</f>
        <v/>
      </c>
      <c r="B601" s="3" t="n"/>
      <c r="C601" s="3" t="n"/>
      <c r="D601" s="4" t="n"/>
      <c r="E601" s="4" t="n"/>
      <c r="F601" s="5" t="n"/>
      <c r="G601" s="6" t="n"/>
      <c r="H601" s="4" t="n"/>
      <c r="I601" s="7" t="n"/>
      <c r="J601" s="4" t="n"/>
    </row>
    <row r="602" ht="22" customHeight="1">
      <c r="A602" s="3">
        <f>IF(C602="","",ROW()-2)</f>
        <v/>
      </c>
      <c r="B602" s="3" t="n"/>
      <c r="C602" s="3" t="n"/>
      <c r="D602" s="4" t="n"/>
      <c r="E602" s="4" t="n"/>
      <c r="F602" s="5" t="n"/>
      <c r="G602" s="6" t="n"/>
      <c r="H602" s="4" t="n"/>
      <c r="I602" s="7" t="n"/>
      <c r="J602" s="4" t="n"/>
    </row>
    <row r="603" ht="22" customHeight="1">
      <c r="A603" s="3">
        <f>IF(C603="","",ROW()-2)</f>
        <v/>
      </c>
      <c r="B603" s="3" t="n"/>
      <c r="C603" s="3" t="n"/>
      <c r="D603" s="4" t="n"/>
      <c r="E603" s="4" t="n"/>
      <c r="F603" s="5" t="n"/>
      <c r="G603" s="6" t="n"/>
      <c r="H603" s="4" t="n"/>
      <c r="I603" s="7" t="n"/>
      <c r="J603" s="4" t="n"/>
    </row>
    <row r="604" ht="22" customHeight="1">
      <c r="A604" s="3">
        <f>IF(C604="","",ROW()-2)</f>
        <v/>
      </c>
      <c r="B604" s="3" t="n"/>
      <c r="C604" s="3" t="n"/>
      <c r="D604" s="4" t="n"/>
      <c r="E604" s="4" t="n"/>
      <c r="F604" s="5" t="n"/>
      <c r="G604" s="6" t="n"/>
      <c r="H604" s="4" t="n"/>
      <c r="I604" s="7" t="n"/>
      <c r="J604" s="4" t="n"/>
    </row>
    <row r="605" ht="22" customHeight="1">
      <c r="A605" s="3">
        <f>IF(C605="","",ROW()-2)</f>
        <v/>
      </c>
      <c r="B605" s="3" t="n"/>
      <c r="C605" s="3" t="n"/>
      <c r="D605" s="4" t="n"/>
      <c r="E605" s="4" t="n"/>
      <c r="F605" s="5" t="n"/>
      <c r="G605" s="6" t="n"/>
      <c r="H605" s="4" t="n"/>
      <c r="I605" s="7" t="n"/>
      <c r="J605" s="4" t="n"/>
    </row>
    <row r="606" ht="22" customHeight="1">
      <c r="A606" s="3">
        <f>IF(C606="","",ROW()-2)</f>
        <v/>
      </c>
      <c r="B606" s="3" t="n"/>
      <c r="C606" s="3" t="n"/>
      <c r="D606" s="4" t="n"/>
      <c r="E606" s="4" t="n"/>
      <c r="F606" s="5" t="n"/>
      <c r="G606" s="6" t="n"/>
      <c r="H606" s="4" t="n"/>
      <c r="I606" s="7" t="n"/>
      <c r="J606" s="4" t="n"/>
    </row>
    <row r="607" ht="22" customHeight="1">
      <c r="A607" s="3">
        <f>IF(C607="","",ROW()-2)</f>
        <v/>
      </c>
      <c r="B607" s="3" t="n"/>
      <c r="C607" s="3" t="n"/>
      <c r="D607" s="4" t="n"/>
      <c r="E607" s="4" t="n"/>
      <c r="F607" s="5" t="n"/>
      <c r="G607" s="6" t="n"/>
      <c r="H607" s="4" t="n"/>
      <c r="I607" s="7" t="n"/>
      <c r="J607" s="4" t="n"/>
    </row>
    <row r="608" ht="22" customHeight="1">
      <c r="A608" s="3">
        <f>IF(C608="","",ROW()-2)</f>
        <v/>
      </c>
      <c r="B608" s="3" t="n"/>
      <c r="C608" s="3" t="n"/>
      <c r="D608" s="4" t="n"/>
      <c r="E608" s="4" t="n"/>
      <c r="F608" s="5" t="n"/>
      <c r="G608" s="6" t="n"/>
      <c r="H608" s="4" t="n"/>
      <c r="I608" s="7" t="n"/>
      <c r="J608" s="4" t="n"/>
    </row>
    <row r="609" ht="22" customHeight="1">
      <c r="A609" s="3">
        <f>IF(C609="","",ROW()-2)</f>
        <v/>
      </c>
      <c r="B609" s="3" t="n"/>
      <c r="C609" s="3" t="n"/>
      <c r="D609" s="4" t="n"/>
      <c r="E609" s="4" t="n"/>
      <c r="F609" s="5" t="n"/>
      <c r="G609" s="6" t="n"/>
      <c r="H609" s="4" t="n"/>
      <c r="I609" s="7" t="n"/>
      <c r="J609" s="4" t="n"/>
    </row>
    <row r="610" ht="22" customHeight="1">
      <c r="A610" s="3">
        <f>IF(C610="","",ROW()-2)</f>
        <v/>
      </c>
      <c r="B610" s="3" t="n"/>
      <c r="C610" s="3" t="n"/>
      <c r="D610" s="4" t="n"/>
      <c r="E610" s="4" t="n"/>
      <c r="F610" s="5" t="n"/>
      <c r="G610" s="6" t="n"/>
      <c r="H610" s="4" t="n"/>
      <c r="I610" s="7" t="n"/>
      <c r="J610" s="4" t="n"/>
    </row>
    <row r="611" ht="22" customHeight="1">
      <c r="A611" s="3">
        <f>IF(C611="","",ROW()-2)</f>
        <v/>
      </c>
      <c r="B611" s="3" t="n"/>
      <c r="C611" s="3" t="n"/>
      <c r="D611" s="4" t="n"/>
      <c r="E611" s="4" t="n"/>
      <c r="F611" s="5" t="n"/>
      <c r="G611" s="6" t="n"/>
      <c r="H611" s="4" t="n"/>
      <c r="I611" s="7" t="n"/>
      <c r="J611" s="4" t="n"/>
    </row>
    <row r="612" ht="22" customHeight="1">
      <c r="A612" s="3">
        <f>IF(C612="","",ROW()-2)</f>
        <v/>
      </c>
      <c r="B612" s="3" t="n"/>
      <c r="C612" s="3" t="n"/>
      <c r="D612" s="4" t="n"/>
      <c r="E612" s="4" t="n"/>
      <c r="F612" s="5" t="n"/>
      <c r="G612" s="6" t="n"/>
      <c r="H612" s="4" t="n"/>
      <c r="I612" s="7" t="n"/>
      <c r="J612" s="4" t="n"/>
    </row>
    <row r="613" ht="22" customHeight="1">
      <c r="A613" s="3">
        <f>IF(C613="","",ROW()-2)</f>
        <v/>
      </c>
      <c r="B613" s="3" t="n"/>
      <c r="C613" s="3" t="n"/>
      <c r="D613" s="4" t="n"/>
      <c r="E613" s="4" t="n"/>
      <c r="F613" s="5" t="n"/>
      <c r="G613" s="6" t="n"/>
      <c r="H613" s="4" t="n"/>
      <c r="I613" s="7" t="n"/>
      <c r="J613" s="4" t="n"/>
    </row>
    <row r="614" ht="22" customHeight="1">
      <c r="A614" s="3">
        <f>IF(C614="","",ROW()-2)</f>
        <v/>
      </c>
      <c r="B614" s="3" t="n"/>
      <c r="C614" s="3" t="n"/>
      <c r="D614" s="4" t="n"/>
      <c r="E614" s="4" t="n"/>
      <c r="F614" s="5" t="n"/>
      <c r="G614" s="6" t="n"/>
      <c r="H614" s="4" t="n"/>
      <c r="I614" s="7" t="n"/>
      <c r="J614" s="4" t="n"/>
    </row>
    <row r="615" ht="22" customHeight="1">
      <c r="A615" s="3">
        <f>IF(C615="","",ROW()-2)</f>
        <v/>
      </c>
      <c r="B615" s="3" t="n"/>
      <c r="C615" s="3" t="n"/>
      <c r="D615" s="4" t="n"/>
      <c r="E615" s="4" t="n"/>
      <c r="F615" s="5" t="n"/>
      <c r="G615" s="6" t="n"/>
      <c r="H615" s="4" t="n"/>
      <c r="I615" s="7" t="n"/>
      <c r="J615" s="4" t="n"/>
    </row>
    <row r="616" ht="22" customHeight="1">
      <c r="A616" s="3">
        <f>IF(C616="","",ROW()-2)</f>
        <v/>
      </c>
      <c r="B616" s="3" t="n"/>
      <c r="C616" s="3" t="n"/>
      <c r="D616" s="4" t="n"/>
      <c r="E616" s="4" t="n"/>
      <c r="F616" s="5" t="n"/>
      <c r="G616" s="6" t="n"/>
      <c r="H616" s="4" t="n"/>
      <c r="I616" s="7" t="n"/>
      <c r="J616" s="4" t="n"/>
    </row>
    <row r="617" ht="22" customHeight="1">
      <c r="A617" s="3">
        <f>IF(C617="","",ROW()-2)</f>
        <v/>
      </c>
      <c r="B617" s="3" t="n"/>
      <c r="C617" s="3" t="n"/>
      <c r="D617" s="4" t="n"/>
      <c r="E617" s="4" t="n"/>
      <c r="F617" s="5" t="n"/>
      <c r="G617" s="6" t="n"/>
      <c r="H617" s="4" t="n"/>
      <c r="I617" s="7" t="n"/>
      <c r="J617" s="4" t="n"/>
    </row>
    <row r="618" ht="22" customHeight="1">
      <c r="A618" s="3">
        <f>IF(C618="","",ROW()-2)</f>
        <v/>
      </c>
      <c r="B618" s="3" t="n"/>
      <c r="C618" s="3" t="n"/>
      <c r="D618" s="4" t="n"/>
      <c r="E618" s="4" t="n"/>
      <c r="F618" s="5" t="n"/>
      <c r="G618" s="6" t="n"/>
      <c r="H618" s="4" t="n"/>
      <c r="I618" s="7" t="n"/>
      <c r="J618" s="4" t="n"/>
    </row>
    <row r="619" ht="22" customHeight="1">
      <c r="A619" s="3">
        <f>IF(C619="","",ROW()-2)</f>
        <v/>
      </c>
      <c r="B619" s="3" t="n"/>
      <c r="C619" s="3" t="n"/>
      <c r="D619" s="4" t="n"/>
      <c r="E619" s="4" t="n"/>
      <c r="F619" s="5" t="n"/>
      <c r="G619" s="6" t="n"/>
      <c r="H619" s="4" t="n"/>
      <c r="I619" s="7" t="n"/>
      <c r="J619" s="4" t="n"/>
    </row>
    <row r="620" ht="22" customHeight="1">
      <c r="A620" s="3">
        <f>IF(C620="","",ROW()-2)</f>
        <v/>
      </c>
      <c r="B620" s="3" t="n"/>
      <c r="C620" s="3" t="n"/>
      <c r="D620" s="4" t="n"/>
      <c r="E620" s="4" t="n"/>
      <c r="F620" s="5" t="n"/>
      <c r="G620" s="6" t="n"/>
      <c r="H620" s="4" t="n"/>
      <c r="I620" s="7" t="n"/>
      <c r="J620" s="4" t="n"/>
    </row>
    <row r="621" ht="22" customHeight="1">
      <c r="A621" s="3">
        <f>IF(C621="","",ROW()-2)</f>
        <v/>
      </c>
      <c r="B621" s="3" t="n"/>
      <c r="C621" s="3" t="n"/>
      <c r="D621" s="4" t="n"/>
      <c r="E621" s="4" t="n"/>
      <c r="F621" s="5" t="n"/>
      <c r="G621" s="6" t="n"/>
      <c r="H621" s="4" t="n"/>
      <c r="I621" s="7" t="n"/>
      <c r="J621" s="4" t="n"/>
    </row>
    <row r="622" ht="22" customHeight="1">
      <c r="A622" s="3">
        <f>IF(C622="","",ROW()-2)</f>
        <v/>
      </c>
      <c r="B622" s="3" t="n"/>
      <c r="C622" s="3" t="n"/>
      <c r="D622" s="4" t="n"/>
      <c r="E622" s="4" t="n"/>
      <c r="F622" s="5" t="n"/>
      <c r="G622" s="6" t="n"/>
      <c r="H622" s="4" t="n"/>
      <c r="I622" s="7" t="n"/>
      <c r="J622" s="4" t="n"/>
    </row>
    <row r="623" ht="22" customHeight="1">
      <c r="A623" s="3">
        <f>IF(C623="","",ROW()-2)</f>
        <v/>
      </c>
      <c r="B623" s="3" t="n"/>
      <c r="C623" s="3" t="n"/>
      <c r="D623" s="4" t="n"/>
      <c r="E623" s="4" t="n"/>
      <c r="F623" s="5" t="n"/>
      <c r="G623" s="6" t="n"/>
      <c r="H623" s="4" t="n"/>
      <c r="I623" s="7" t="n"/>
      <c r="J623" s="4" t="n"/>
    </row>
    <row r="624" ht="22" customHeight="1">
      <c r="A624" s="3">
        <f>IF(C624="","",ROW()-2)</f>
        <v/>
      </c>
      <c r="B624" s="3" t="n"/>
      <c r="C624" s="3" t="n"/>
      <c r="D624" s="4" t="n"/>
      <c r="E624" s="4" t="n"/>
      <c r="F624" s="5" t="n"/>
      <c r="G624" s="6" t="n"/>
      <c r="H624" s="4" t="n"/>
      <c r="I624" s="7" t="n"/>
      <c r="J624" s="4" t="n"/>
    </row>
    <row r="625" ht="22" customHeight="1">
      <c r="A625" s="3">
        <f>IF(C625="","",ROW()-2)</f>
        <v/>
      </c>
      <c r="B625" s="3" t="n"/>
      <c r="C625" s="3" t="n"/>
      <c r="D625" s="4" t="n"/>
      <c r="E625" s="4" t="n"/>
      <c r="F625" s="5" t="n"/>
      <c r="G625" s="6" t="n"/>
      <c r="H625" s="4" t="n"/>
      <c r="I625" s="7" t="n"/>
      <c r="J625" s="4" t="n"/>
    </row>
    <row r="626" ht="22" customHeight="1">
      <c r="A626" s="3">
        <f>IF(C626="","",ROW()-2)</f>
        <v/>
      </c>
      <c r="B626" s="3" t="n"/>
      <c r="C626" s="3" t="n"/>
      <c r="D626" s="4" t="n"/>
      <c r="E626" s="4" t="n"/>
      <c r="F626" s="5" t="n"/>
      <c r="G626" s="6" t="n"/>
      <c r="H626" s="4" t="n"/>
      <c r="I626" s="7" t="n"/>
      <c r="J626" s="4" t="n"/>
    </row>
    <row r="627" ht="22" customHeight="1">
      <c r="A627" s="3">
        <f>IF(C627="","",ROW()-2)</f>
        <v/>
      </c>
      <c r="B627" s="3" t="n"/>
      <c r="C627" s="3" t="n"/>
      <c r="D627" s="4" t="n"/>
      <c r="E627" s="4" t="n"/>
      <c r="F627" s="5" t="n"/>
      <c r="G627" s="6" t="n"/>
      <c r="H627" s="4" t="n"/>
      <c r="I627" s="7" t="n"/>
      <c r="J627" s="4" t="n"/>
    </row>
    <row r="628" ht="22" customHeight="1">
      <c r="A628" s="3">
        <f>IF(C628="","",ROW()-2)</f>
        <v/>
      </c>
      <c r="B628" s="3" t="n"/>
      <c r="C628" s="3" t="n"/>
      <c r="D628" s="4" t="n"/>
      <c r="E628" s="4" t="n"/>
      <c r="F628" s="5" t="n"/>
      <c r="G628" s="6" t="n"/>
      <c r="H628" s="4" t="n"/>
      <c r="I628" s="7" t="n"/>
      <c r="J628" s="4" t="n"/>
    </row>
    <row r="629" ht="22" customHeight="1">
      <c r="A629" s="3">
        <f>IF(C629="","",ROW()-2)</f>
        <v/>
      </c>
      <c r="B629" s="3" t="n"/>
      <c r="C629" s="3" t="n"/>
      <c r="D629" s="4" t="n"/>
      <c r="E629" s="4" t="n"/>
      <c r="F629" s="5" t="n"/>
      <c r="G629" s="6" t="n"/>
      <c r="H629" s="4" t="n"/>
      <c r="I629" s="7" t="n"/>
      <c r="J629" s="4" t="n"/>
    </row>
    <row r="630" ht="22" customHeight="1">
      <c r="A630" s="3">
        <f>IF(C630="","",ROW()-2)</f>
        <v/>
      </c>
      <c r="B630" s="3" t="n"/>
      <c r="C630" s="3" t="n"/>
      <c r="D630" s="4" t="n"/>
      <c r="E630" s="4" t="n"/>
      <c r="F630" s="5" t="n"/>
      <c r="G630" s="6" t="n"/>
      <c r="H630" s="4" t="n"/>
      <c r="I630" s="7" t="n"/>
      <c r="J630" s="4" t="n"/>
    </row>
    <row r="631" ht="22" customHeight="1">
      <c r="A631" s="3">
        <f>IF(C631="","",ROW()-2)</f>
        <v/>
      </c>
      <c r="B631" s="3" t="n"/>
      <c r="C631" s="3" t="n"/>
      <c r="D631" s="4" t="n"/>
      <c r="E631" s="4" t="n"/>
      <c r="F631" s="5" t="n"/>
      <c r="G631" s="6" t="n"/>
      <c r="H631" s="4" t="n"/>
      <c r="I631" s="7" t="n"/>
      <c r="J631" s="4" t="n"/>
    </row>
    <row r="632" ht="22" customHeight="1">
      <c r="A632" s="3">
        <f>IF(C632="","",ROW()-2)</f>
        <v/>
      </c>
      <c r="B632" s="3" t="n"/>
      <c r="C632" s="3" t="n"/>
      <c r="D632" s="4" t="n"/>
      <c r="E632" s="4" t="n"/>
      <c r="F632" s="5" t="n"/>
      <c r="G632" s="6" t="n"/>
      <c r="H632" s="4" t="n"/>
      <c r="I632" s="7" t="n"/>
      <c r="J632" s="4" t="n"/>
    </row>
    <row r="633" ht="22" customHeight="1">
      <c r="A633" s="3">
        <f>IF(C633="","",ROW()-2)</f>
        <v/>
      </c>
      <c r="B633" s="3" t="n"/>
      <c r="C633" s="3" t="n"/>
      <c r="D633" s="4" t="n"/>
      <c r="E633" s="4" t="n"/>
      <c r="F633" s="5" t="n"/>
      <c r="G633" s="6" t="n"/>
      <c r="H633" s="4" t="n"/>
      <c r="I633" s="7" t="n"/>
      <c r="J633" s="4" t="n"/>
    </row>
    <row r="634" ht="22" customHeight="1">
      <c r="A634" s="3">
        <f>IF(C634="","",ROW()-2)</f>
        <v/>
      </c>
      <c r="B634" s="3" t="n"/>
      <c r="C634" s="3" t="n"/>
      <c r="D634" s="4" t="n"/>
      <c r="E634" s="4" t="n"/>
      <c r="F634" s="5" t="n"/>
      <c r="G634" s="6" t="n"/>
      <c r="H634" s="4" t="n"/>
      <c r="I634" s="7" t="n"/>
      <c r="J634" s="4" t="n"/>
    </row>
    <row r="635" ht="22" customHeight="1">
      <c r="A635" s="3">
        <f>IF(C635="","",ROW()-2)</f>
        <v/>
      </c>
      <c r="B635" s="3" t="n"/>
      <c r="C635" s="3" t="n"/>
      <c r="D635" s="4" t="n"/>
      <c r="E635" s="4" t="n"/>
      <c r="F635" s="5" t="n"/>
      <c r="G635" s="6" t="n"/>
      <c r="H635" s="4" t="n"/>
      <c r="I635" s="7" t="n"/>
      <c r="J635" s="4" t="n"/>
    </row>
    <row r="636" ht="22" customHeight="1">
      <c r="A636" s="3">
        <f>IF(C636="","",ROW()-2)</f>
        <v/>
      </c>
      <c r="B636" s="3" t="n"/>
      <c r="C636" s="3" t="n"/>
      <c r="D636" s="4" t="n"/>
      <c r="E636" s="4" t="n"/>
      <c r="F636" s="5" t="n"/>
      <c r="G636" s="6" t="n"/>
      <c r="H636" s="4" t="n"/>
      <c r="I636" s="7" t="n"/>
      <c r="J636" s="4" t="n"/>
    </row>
    <row r="637" ht="22" customHeight="1">
      <c r="A637" s="3">
        <f>IF(C637="","",ROW()-2)</f>
        <v/>
      </c>
      <c r="B637" s="3" t="n"/>
      <c r="C637" s="3" t="n"/>
      <c r="D637" s="4" t="n"/>
      <c r="E637" s="4" t="n"/>
      <c r="F637" s="5" t="n"/>
      <c r="G637" s="6" t="n"/>
      <c r="H637" s="4" t="n"/>
      <c r="I637" s="7" t="n"/>
      <c r="J637" s="4" t="n"/>
    </row>
    <row r="638" ht="22" customHeight="1">
      <c r="A638" s="3">
        <f>IF(C638="","",ROW()-2)</f>
        <v/>
      </c>
      <c r="B638" s="3" t="n"/>
      <c r="C638" s="3" t="n"/>
      <c r="D638" s="4" t="n"/>
      <c r="E638" s="4" t="n"/>
      <c r="F638" s="5" t="n"/>
      <c r="G638" s="6" t="n"/>
      <c r="H638" s="4" t="n"/>
      <c r="I638" s="7" t="n"/>
      <c r="J638" s="4" t="n"/>
    </row>
    <row r="639" ht="22" customHeight="1">
      <c r="A639" s="3">
        <f>IF(C639="","",ROW()-2)</f>
        <v/>
      </c>
      <c r="B639" s="3" t="n"/>
      <c r="C639" s="3" t="n"/>
      <c r="D639" s="4" t="n"/>
      <c r="E639" s="4" t="n"/>
      <c r="F639" s="5" t="n"/>
      <c r="G639" s="6" t="n"/>
      <c r="H639" s="4" t="n"/>
      <c r="I639" s="7" t="n"/>
      <c r="J639" s="4" t="n"/>
    </row>
    <row r="640" ht="22" customHeight="1">
      <c r="A640" s="3">
        <f>IF(C640="","",ROW()-2)</f>
        <v/>
      </c>
      <c r="B640" s="3" t="n"/>
      <c r="C640" s="3" t="n"/>
      <c r="D640" s="4" t="n"/>
      <c r="E640" s="4" t="n"/>
      <c r="F640" s="5" t="n"/>
      <c r="G640" s="6" t="n"/>
      <c r="H640" s="4" t="n"/>
      <c r="I640" s="7" t="n"/>
      <c r="J640" s="4" t="n"/>
    </row>
    <row r="641" ht="22" customHeight="1">
      <c r="A641" s="3">
        <f>IF(C641="","",ROW()-2)</f>
        <v/>
      </c>
      <c r="B641" s="3" t="n"/>
      <c r="C641" s="3" t="n"/>
      <c r="D641" s="4" t="n"/>
      <c r="E641" s="4" t="n"/>
      <c r="F641" s="5" t="n"/>
      <c r="G641" s="6" t="n"/>
      <c r="H641" s="4" t="n"/>
      <c r="I641" s="7" t="n"/>
      <c r="J641" s="4" t="n"/>
    </row>
    <row r="642" ht="22" customHeight="1">
      <c r="A642" s="3">
        <f>IF(C642="","",ROW()-2)</f>
        <v/>
      </c>
      <c r="B642" s="3" t="n"/>
      <c r="C642" s="3" t="n"/>
      <c r="D642" s="4" t="n"/>
      <c r="E642" s="4" t="n"/>
      <c r="F642" s="5" t="n"/>
      <c r="G642" s="6" t="n"/>
      <c r="H642" s="4" t="n"/>
      <c r="I642" s="7" t="n"/>
      <c r="J642" s="4" t="n"/>
    </row>
    <row r="643" ht="22" customHeight="1">
      <c r="A643" s="3">
        <f>IF(C643="","",ROW()-2)</f>
        <v/>
      </c>
      <c r="B643" s="3" t="n"/>
      <c r="C643" s="3" t="n"/>
      <c r="D643" s="4" t="n"/>
      <c r="E643" s="4" t="n"/>
      <c r="F643" s="5" t="n"/>
      <c r="G643" s="6" t="n"/>
      <c r="H643" s="4" t="n"/>
      <c r="I643" s="7" t="n"/>
      <c r="J643" s="4" t="n"/>
    </row>
    <row r="644" ht="22" customHeight="1">
      <c r="A644" s="3">
        <f>IF(C644="","",ROW()-2)</f>
        <v/>
      </c>
      <c r="B644" s="3" t="n"/>
      <c r="C644" s="3" t="n"/>
      <c r="D644" s="4" t="n"/>
      <c r="E644" s="4" t="n"/>
      <c r="F644" s="5" t="n"/>
      <c r="G644" s="6" t="n"/>
      <c r="H644" s="4" t="n"/>
      <c r="I644" s="7" t="n"/>
      <c r="J644" s="4" t="n"/>
    </row>
    <row r="645" ht="22" customHeight="1">
      <c r="A645" s="3">
        <f>IF(C645="","",ROW()-2)</f>
        <v/>
      </c>
      <c r="B645" s="3" t="n"/>
      <c r="C645" s="3" t="n"/>
      <c r="D645" s="4" t="n"/>
      <c r="E645" s="4" t="n"/>
      <c r="F645" s="5" t="n"/>
      <c r="G645" s="6" t="n"/>
      <c r="H645" s="4" t="n"/>
      <c r="I645" s="7" t="n"/>
      <c r="J645" s="4" t="n"/>
    </row>
    <row r="646" ht="22" customHeight="1">
      <c r="A646" s="3">
        <f>IF(C646="","",ROW()-2)</f>
        <v/>
      </c>
      <c r="B646" s="3" t="n"/>
      <c r="C646" s="3" t="n"/>
      <c r="D646" s="4" t="n"/>
      <c r="E646" s="4" t="n"/>
      <c r="F646" s="5" t="n"/>
      <c r="G646" s="6" t="n"/>
      <c r="H646" s="4" t="n"/>
      <c r="I646" s="7" t="n"/>
      <c r="J646" s="4" t="n"/>
    </row>
    <row r="647" ht="22" customHeight="1">
      <c r="A647" s="3">
        <f>IF(C647="","",ROW()-2)</f>
        <v/>
      </c>
      <c r="B647" s="3" t="n"/>
      <c r="C647" s="3" t="n"/>
      <c r="D647" s="4" t="n"/>
      <c r="E647" s="4" t="n"/>
      <c r="F647" s="5" t="n"/>
      <c r="G647" s="6" t="n"/>
      <c r="H647" s="4" t="n"/>
      <c r="I647" s="7" t="n"/>
      <c r="J647" s="4" t="n"/>
    </row>
    <row r="648" ht="22" customHeight="1">
      <c r="A648" s="3">
        <f>IF(C648="","",ROW()-2)</f>
        <v/>
      </c>
      <c r="B648" s="3" t="n"/>
      <c r="C648" s="3" t="n"/>
      <c r="D648" s="4" t="n"/>
      <c r="E648" s="4" t="n"/>
      <c r="F648" s="5" t="n"/>
      <c r="G648" s="6" t="n"/>
      <c r="H648" s="4" t="n"/>
      <c r="I648" s="7" t="n"/>
      <c r="J648" s="4" t="n"/>
    </row>
    <row r="649" ht="22" customHeight="1">
      <c r="A649" s="3">
        <f>IF(C649="","",ROW()-2)</f>
        <v/>
      </c>
      <c r="B649" s="3" t="n"/>
      <c r="C649" s="3" t="n"/>
      <c r="D649" s="4" t="n"/>
      <c r="E649" s="4" t="n"/>
      <c r="F649" s="5" t="n"/>
      <c r="G649" s="6" t="n"/>
      <c r="H649" s="4" t="n"/>
      <c r="I649" s="7" t="n"/>
      <c r="J649" s="4" t="n"/>
    </row>
    <row r="650" ht="22" customHeight="1">
      <c r="A650" s="3">
        <f>IF(C650="","",ROW()-2)</f>
        <v/>
      </c>
      <c r="B650" s="3" t="n"/>
      <c r="C650" s="3" t="n"/>
      <c r="D650" s="4" t="n"/>
      <c r="E650" s="4" t="n"/>
      <c r="F650" s="5" t="n"/>
      <c r="G650" s="6" t="n"/>
      <c r="H650" s="4" t="n"/>
      <c r="I650" s="7" t="n"/>
      <c r="J650" s="4" t="n"/>
    </row>
    <row r="651" ht="22" customHeight="1">
      <c r="A651" s="3">
        <f>IF(C651="","",ROW()-2)</f>
        <v/>
      </c>
      <c r="B651" s="3" t="n"/>
      <c r="C651" s="3" t="n"/>
      <c r="D651" s="4" t="n"/>
      <c r="E651" s="4" t="n"/>
      <c r="F651" s="5" t="n"/>
      <c r="G651" s="6" t="n"/>
      <c r="H651" s="4" t="n"/>
      <c r="I651" s="7" t="n"/>
      <c r="J651" s="4" t="n"/>
    </row>
    <row r="652" ht="22" customHeight="1">
      <c r="A652" s="3">
        <f>IF(C652="","",ROW()-2)</f>
        <v/>
      </c>
      <c r="B652" s="3" t="n"/>
      <c r="C652" s="3" t="n"/>
      <c r="D652" s="4" t="n"/>
      <c r="E652" s="4" t="n"/>
      <c r="F652" s="5" t="n"/>
      <c r="G652" s="6" t="n"/>
      <c r="H652" s="4" t="n"/>
      <c r="I652" s="7" t="n"/>
      <c r="J652" s="4" t="n"/>
    </row>
    <row r="653" ht="22" customHeight="1">
      <c r="A653" s="3">
        <f>IF(C653="","",ROW()-2)</f>
        <v/>
      </c>
      <c r="B653" s="3" t="n"/>
      <c r="C653" s="3" t="n"/>
      <c r="D653" s="4" t="n"/>
      <c r="E653" s="4" t="n"/>
      <c r="F653" s="5" t="n"/>
      <c r="G653" s="6" t="n"/>
      <c r="H653" s="4" t="n"/>
      <c r="I653" s="7" t="n"/>
      <c r="J653" s="4" t="n"/>
    </row>
    <row r="654" ht="22" customHeight="1">
      <c r="A654" s="3">
        <f>IF(C654="","",ROW()-2)</f>
        <v/>
      </c>
      <c r="B654" s="3" t="n"/>
      <c r="C654" s="3" t="n"/>
      <c r="D654" s="4" t="n"/>
      <c r="E654" s="4" t="n"/>
      <c r="F654" s="5" t="n"/>
      <c r="G654" s="6" t="n"/>
      <c r="H654" s="4" t="n"/>
      <c r="I654" s="7" t="n"/>
      <c r="J654" s="4" t="n"/>
    </row>
    <row r="655" ht="22" customHeight="1">
      <c r="A655" s="3">
        <f>IF(C655="","",ROW()-2)</f>
        <v/>
      </c>
      <c r="B655" s="3" t="n"/>
      <c r="C655" s="3" t="n"/>
      <c r="D655" s="4" t="n"/>
      <c r="E655" s="4" t="n"/>
      <c r="F655" s="5" t="n"/>
      <c r="G655" s="6" t="n"/>
      <c r="H655" s="4" t="n"/>
      <c r="I655" s="7" t="n"/>
      <c r="J655" s="4" t="n"/>
    </row>
    <row r="656" ht="22" customHeight="1">
      <c r="A656" s="3">
        <f>IF(C656="","",ROW()-2)</f>
        <v/>
      </c>
      <c r="B656" s="3" t="n"/>
      <c r="C656" s="3" t="n"/>
      <c r="D656" s="4" t="n"/>
      <c r="E656" s="4" t="n"/>
      <c r="F656" s="5" t="n"/>
      <c r="G656" s="6" t="n"/>
      <c r="H656" s="4" t="n"/>
      <c r="I656" s="7" t="n"/>
      <c r="J656" s="4" t="n"/>
    </row>
    <row r="657" ht="22" customHeight="1">
      <c r="A657" s="3">
        <f>IF(C657="","",ROW()-2)</f>
        <v/>
      </c>
      <c r="B657" s="3" t="n"/>
      <c r="C657" s="3" t="n"/>
      <c r="D657" s="4" t="n"/>
      <c r="E657" s="4" t="n"/>
      <c r="F657" s="5" t="n"/>
      <c r="G657" s="6" t="n"/>
      <c r="H657" s="4" t="n"/>
      <c r="I657" s="7" t="n"/>
      <c r="J657" s="4" t="n"/>
    </row>
    <row r="658" ht="22" customHeight="1">
      <c r="A658" s="3">
        <f>IF(C658="","",ROW()-2)</f>
        <v/>
      </c>
      <c r="B658" s="3" t="n"/>
      <c r="C658" s="3" t="n"/>
      <c r="D658" s="4" t="n"/>
      <c r="E658" s="4" t="n"/>
      <c r="F658" s="5" t="n"/>
      <c r="G658" s="6" t="n"/>
      <c r="H658" s="4" t="n"/>
      <c r="I658" s="7" t="n"/>
      <c r="J658" s="4" t="n"/>
    </row>
    <row r="659" ht="22" customHeight="1">
      <c r="A659" s="3">
        <f>IF(C659="","",ROW()-2)</f>
        <v/>
      </c>
      <c r="B659" s="3" t="n"/>
      <c r="C659" s="3" t="n"/>
      <c r="D659" s="4" t="n"/>
      <c r="E659" s="4" t="n"/>
      <c r="F659" s="5" t="n"/>
      <c r="G659" s="6" t="n"/>
      <c r="H659" s="4" t="n"/>
      <c r="I659" s="7" t="n"/>
      <c r="J659" s="4" t="n"/>
    </row>
    <row r="660" ht="22" customHeight="1">
      <c r="A660" s="3">
        <f>IF(C660="","",ROW()-2)</f>
        <v/>
      </c>
      <c r="B660" s="3" t="n"/>
      <c r="C660" s="3" t="n"/>
      <c r="D660" s="4" t="n"/>
      <c r="E660" s="4" t="n"/>
      <c r="F660" s="5" t="n"/>
      <c r="G660" s="6" t="n"/>
      <c r="H660" s="4" t="n"/>
      <c r="I660" s="7" t="n"/>
      <c r="J660" s="4" t="n"/>
    </row>
    <row r="661" ht="22" customHeight="1">
      <c r="A661" s="3">
        <f>IF(C661="","",ROW()-2)</f>
        <v/>
      </c>
      <c r="B661" s="3" t="n"/>
      <c r="C661" s="3" t="n"/>
      <c r="D661" s="4" t="n"/>
      <c r="E661" s="4" t="n"/>
      <c r="F661" s="5" t="n"/>
      <c r="G661" s="6" t="n"/>
      <c r="H661" s="4" t="n"/>
      <c r="I661" s="7" t="n"/>
      <c r="J661" s="4" t="n"/>
    </row>
    <row r="662" ht="22" customHeight="1">
      <c r="A662" s="3">
        <f>IF(C662="","",ROW()-2)</f>
        <v/>
      </c>
      <c r="B662" s="3" t="n"/>
      <c r="C662" s="3" t="n"/>
      <c r="D662" s="4" t="n"/>
      <c r="E662" s="4" t="n"/>
      <c r="F662" s="5" t="n"/>
      <c r="G662" s="6" t="n"/>
      <c r="H662" s="4" t="n"/>
      <c r="I662" s="7" t="n"/>
      <c r="J662" s="4" t="n"/>
    </row>
    <row r="663" ht="22" customHeight="1">
      <c r="A663" s="3">
        <f>IF(C663="","",ROW()-2)</f>
        <v/>
      </c>
      <c r="B663" s="3" t="n"/>
      <c r="C663" s="3" t="n"/>
      <c r="D663" s="4" t="n"/>
      <c r="E663" s="4" t="n"/>
      <c r="F663" s="5" t="n"/>
      <c r="G663" s="6" t="n"/>
      <c r="H663" s="4" t="n"/>
      <c r="I663" s="7" t="n"/>
      <c r="J663" s="4" t="n"/>
    </row>
    <row r="664" ht="22" customHeight="1">
      <c r="A664" s="3">
        <f>IF(C664="","",ROW()-2)</f>
        <v/>
      </c>
      <c r="B664" s="3" t="n"/>
      <c r="C664" s="3" t="n"/>
      <c r="D664" s="4" t="n"/>
      <c r="E664" s="4" t="n"/>
      <c r="F664" s="5" t="n"/>
      <c r="G664" s="6" t="n"/>
      <c r="H664" s="4" t="n"/>
      <c r="I664" s="7" t="n"/>
      <c r="J664" s="4" t="n"/>
    </row>
    <row r="665" ht="22" customHeight="1">
      <c r="A665" s="3">
        <f>IF(C665="","",ROW()-2)</f>
        <v/>
      </c>
      <c r="B665" s="3" t="n"/>
      <c r="C665" s="3" t="n"/>
      <c r="D665" s="4" t="n"/>
      <c r="E665" s="4" t="n"/>
      <c r="F665" s="5" t="n"/>
      <c r="G665" s="6" t="n"/>
      <c r="H665" s="4" t="n"/>
      <c r="I665" s="7" t="n"/>
      <c r="J665" s="4" t="n"/>
    </row>
    <row r="666" ht="22" customHeight="1">
      <c r="A666" s="3">
        <f>IF(C666="","",ROW()-2)</f>
        <v/>
      </c>
      <c r="B666" s="3" t="n"/>
      <c r="C666" s="3" t="n"/>
      <c r="D666" s="4" t="n"/>
      <c r="E666" s="4" t="n"/>
      <c r="F666" s="5" t="n"/>
      <c r="G666" s="6" t="n"/>
      <c r="H666" s="4" t="n"/>
      <c r="I666" s="7" t="n"/>
      <c r="J666" s="4" t="n"/>
    </row>
    <row r="667" ht="22" customHeight="1">
      <c r="A667" s="3">
        <f>IF(C667="","",ROW()-2)</f>
        <v/>
      </c>
      <c r="B667" s="3" t="n"/>
      <c r="C667" s="3" t="n"/>
      <c r="D667" s="4" t="n"/>
      <c r="E667" s="4" t="n"/>
      <c r="F667" s="5" t="n"/>
      <c r="G667" s="6" t="n"/>
      <c r="H667" s="4" t="n"/>
      <c r="I667" s="7" t="n"/>
      <c r="J667" s="4" t="n"/>
    </row>
    <row r="668" ht="22" customHeight="1">
      <c r="A668" s="3">
        <f>IF(C668="","",ROW()-2)</f>
        <v/>
      </c>
      <c r="B668" s="3" t="n"/>
      <c r="C668" s="3" t="n"/>
      <c r="D668" s="4" t="n"/>
      <c r="E668" s="4" t="n"/>
      <c r="F668" s="5" t="n"/>
      <c r="G668" s="6" t="n"/>
      <c r="H668" s="4" t="n"/>
      <c r="I668" s="7" t="n"/>
      <c r="J668" s="4" t="n"/>
    </row>
    <row r="669" ht="22" customHeight="1">
      <c r="A669" s="3">
        <f>IF(C669="","",ROW()-2)</f>
        <v/>
      </c>
      <c r="B669" s="3" t="n"/>
      <c r="C669" s="3" t="n"/>
      <c r="D669" s="4" t="n"/>
      <c r="E669" s="4" t="n"/>
      <c r="F669" s="5" t="n"/>
      <c r="G669" s="6" t="n"/>
      <c r="H669" s="4" t="n"/>
      <c r="I669" s="7" t="n"/>
      <c r="J669" s="4" t="n"/>
    </row>
    <row r="670" ht="22" customHeight="1">
      <c r="A670" s="3">
        <f>IF(C670="","",ROW()-2)</f>
        <v/>
      </c>
      <c r="B670" s="3" t="n"/>
      <c r="C670" s="3" t="n"/>
      <c r="D670" s="4" t="n"/>
      <c r="E670" s="4" t="n"/>
      <c r="F670" s="5" t="n"/>
      <c r="G670" s="6" t="n"/>
      <c r="H670" s="4" t="n"/>
      <c r="I670" s="7" t="n"/>
      <c r="J670" s="4" t="n"/>
    </row>
    <row r="671" ht="22" customHeight="1">
      <c r="A671" s="3">
        <f>IF(C671="","",ROW()-2)</f>
        <v/>
      </c>
      <c r="B671" s="3" t="n"/>
      <c r="C671" s="3" t="n"/>
      <c r="D671" s="4" t="n"/>
      <c r="E671" s="4" t="n"/>
      <c r="F671" s="5" t="n"/>
      <c r="G671" s="6" t="n"/>
      <c r="H671" s="4" t="n"/>
      <c r="I671" s="7" t="n"/>
      <c r="J671" s="4" t="n"/>
    </row>
    <row r="672" ht="22" customHeight="1">
      <c r="A672" s="3">
        <f>IF(C672="","",ROW()-2)</f>
        <v/>
      </c>
      <c r="B672" s="3" t="n"/>
      <c r="C672" s="3" t="n"/>
      <c r="D672" s="4" t="n"/>
      <c r="E672" s="4" t="n"/>
      <c r="F672" s="5" t="n"/>
      <c r="G672" s="6" t="n"/>
      <c r="H672" s="4" t="n"/>
      <c r="I672" s="7" t="n"/>
      <c r="J672" s="4" t="n"/>
    </row>
    <row r="673" ht="22" customHeight="1">
      <c r="A673" s="3">
        <f>IF(C673="","",ROW()-2)</f>
        <v/>
      </c>
      <c r="B673" s="3" t="n"/>
      <c r="C673" s="3" t="n"/>
      <c r="D673" s="4" t="n"/>
      <c r="E673" s="4" t="n"/>
      <c r="F673" s="5" t="n"/>
      <c r="G673" s="6" t="n"/>
      <c r="H673" s="4" t="n"/>
      <c r="I673" s="7" t="n"/>
      <c r="J673" s="4" t="n"/>
    </row>
    <row r="674" ht="22" customHeight="1">
      <c r="A674" s="3">
        <f>IF(C674="","",ROW()-2)</f>
        <v/>
      </c>
      <c r="B674" s="3" t="n"/>
      <c r="C674" s="3" t="n"/>
      <c r="D674" s="4" t="n"/>
      <c r="E674" s="4" t="n"/>
      <c r="F674" s="5" t="n"/>
      <c r="G674" s="6" t="n"/>
      <c r="H674" s="4" t="n"/>
      <c r="I674" s="7" t="n"/>
      <c r="J674" s="4" t="n"/>
    </row>
    <row r="675" ht="22" customHeight="1">
      <c r="A675" s="3">
        <f>IF(C675="","",ROW()-2)</f>
        <v/>
      </c>
      <c r="B675" s="3" t="n"/>
      <c r="C675" s="3" t="n"/>
      <c r="D675" s="4" t="n"/>
      <c r="E675" s="4" t="n"/>
      <c r="F675" s="5" t="n"/>
      <c r="G675" s="6" t="n"/>
      <c r="H675" s="4" t="n"/>
      <c r="I675" s="7" t="n"/>
      <c r="J675" s="4" t="n"/>
    </row>
    <row r="676" ht="22" customHeight="1">
      <c r="A676" s="3">
        <f>IF(C676="","",ROW()-2)</f>
        <v/>
      </c>
      <c r="B676" s="3" t="n"/>
      <c r="C676" s="3" t="n"/>
      <c r="D676" s="4" t="n"/>
      <c r="E676" s="4" t="n"/>
      <c r="F676" s="5" t="n"/>
      <c r="G676" s="6" t="n"/>
      <c r="H676" s="4" t="n"/>
      <c r="I676" s="7" t="n"/>
      <c r="J676" s="4" t="n"/>
    </row>
    <row r="677" ht="22" customHeight="1">
      <c r="A677" s="3">
        <f>IF(C677="","",ROW()-2)</f>
        <v/>
      </c>
      <c r="B677" s="3" t="n"/>
      <c r="C677" s="3" t="n"/>
      <c r="D677" s="4" t="n"/>
      <c r="E677" s="4" t="n"/>
      <c r="F677" s="5" t="n"/>
      <c r="G677" s="6" t="n"/>
      <c r="H677" s="4" t="n"/>
      <c r="I677" s="7" t="n"/>
      <c r="J677" s="4" t="n"/>
    </row>
    <row r="678" ht="22" customHeight="1">
      <c r="A678" s="3">
        <f>IF(C678="","",ROW()-2)</f>
        <v/>
      </c>
      <c r="B678" s="3" t="n"/>
      <c r="C678" s="3" t="n"/>
      <c r="D678" s="4" t="n"/>
      <c r="E678" s="4" t="n"/>
      <c r="F678" s="5" t="n"/>
      <c r="G678" s="6" t="n"/>
      <c r="H678" s="4" t="n"/>
      <c r="I678" s="7" t="n"/>
      <c r="J678" s="4" t="n"/>
    </row>
    <row r="679" ht="22" customHeight="1">
      <c r="A679" s="3">
        <f>IF(C679="","",ROW()-2)</f>
        <v/>
      </c>
      <c r="B679" s="3" t="n"/>
      <c r="C679" s="3" t="n"/>
      <c r="D679" s="4" t="n"/>
      <c r="E679" s="4" t="n"/>
      <c r="F679" s="5" t="n"/>
      <c r="G679" s="6" t="n"/>
      <c r="H679" s="4" t="n"/>
      <c r="I679" s="7" t="n"/>
      <c r="J679" s="4" t="n"/>
    </row>
    <row r="680" ht="22" customHeight="1">
      <c r="A680" s="3">
        <f>IF(C680="","",ROW()-2)</f>
        <v/>
      </c>
      <c r="B680" s="3" t="n"/>
      <c r="C680" s="3" t="n"/>
      <c r="D680" s="4" t="n"/>
      <c r="E680" s="4" t="n"/>
      <c r="F680" s="5" t="n"/>
      <c r="G680" s="6" t="n"/>
      <c r="H680" s="4" t="n"/>
      <c r="I680" s="7" t="n"/>
      <c r="J680" s="4" t="n"/>
    </row>
    <row r="681" ht="22" customHeight="1">
      <c r="A681" s="3">
        <f>IF(C681="","",ROW()-2)</f>
        <v/>
      </c>
      <c r="B681" s="3" t="n"/>
      <c r="C681" s="3" t="n"/>
      <c r="D681" s="4" t="n"/>
      <c r="E681" s="4" t="n"/>
      <c r="F681" s="5" t="n"/>
      <c r="G681" s="6" t="n"/>
      <c r="H681" s="4" t="n"/>
      <c r="I681" s="7" t="n"/>
      <c r="J681" s="4" t="n"/>
    </row>
    <row r="682" ht="22" customHeight="1">
      <c r="A682" s="3">
        <f>IF(C682="","",ROW()-2)</f>
        <v/>
      </c>
      <c r="B682" s="3" t="n"/>
      <c r="C682" s="3" t="n"/>
      <c r="D682" s="4" t="n"/>
      <c r="E682" s="4" t="n"/>
      <c r="F682" s="5" t="n"/>
      <c r="G682" s="6" t="n"/>
      <c r="H682" s="4" t="n"/>
      <c r="I682" s="7" t="n"/>
      <c r="J682" s="4" t="n"/>
    </row>
    <row r="683" ht="22" customHeight="1">
      <c r="A683" s="3">
        <f>IF(C683="","",ROW()-2)</f>
        <v/>
      </c>
      <c r="B683" s="3" t="n"/>
      <c r="C683" s="3" t="n"/>
      <c r="D683" s="4" t="n"/>
      <c r="E683" s="4" t="n"/>
      <c r="F683" s="5" t="n"/>
      <c r="G683" s="6" t="n"/>
      <c r="H683" s="4" t="n"/>
      <c r="I683" s="7" t="n"/>
      <c r="J683" s="4" t="n"/>
    </row>
    <row r="684" ht="22" customHeight="1">
      <c r="A684" s="3">
        <f>IF(C684="","",ROW()-2)</f>
        <v/>
      </c>
      <c r="B684" s="3" t="n"/>
      <c r="C684" s="3" t="n"/>
      <c r="D684" s="4" t="n"/>
      <c r="E684" s="4" t="n"/>
      <c r="F684" s="5" t="n"/>
      <c r="G684" s="6" t="n"/>
      <c r="H684" s="4" t="n"/>
      <c r="I684" s="7" t="n"/>
      <c r="J684" s="4" t="n"/>
    </row>
    <row r="685" ht="22" customHeight="1">
      <c r="A685" s="3">
        <f>IF(C685="","",ROW()-2)</f>
        <v/>
      </c>
      <c r="B685" s="3" t="n"/>
      <c r="C685" s="3" t="n"/>
      <c r="D685" s="4" t="n"/>
      <c r="E685" s="4" t="n"/>
      <c r="F685" s="5" t="n"/>
      <c r="G685" s="6" t="n"/>
      <c r="H685" s="4" t="n"/>
      <c r="I685" s="7" t="n"/>
      <c r="J685" s="4" t="n"/>
    </row>
    <row r="686" ht="22" customHeight="1">
      <c r="A686" s="3">
        <f>IF(C686="","",ROW()-2)</f>
        <v/>
      </c>
      <c r="B686" s="3" t="n"/>
      <c r="C686" s="3" t="n"/>
      <c r="D686" s="4" t="n"/>
      <c r="E686" s="4" t="n"/>
      <c r="F686" s="5" t="n"/>
      <c r="G686" s="6" t="n"/>
      <c r="H686" s="4" t="n"/>
      <c r="I686" s="7" t="n"/>
      <c r="J686" s="4" t="n"/>
    </row>
    <row r="687" ht="22" customHeight="1">
      <c r="A687" s="3">
        <f>IF(C687="","",ROW()-2)</f>
        <v/>
      </c>
      <c r="B687" s="3" t="n"/>
      <c r="C687" s="3" t="n"/>
      <c r="D687" s="4" t="n"/>
      <c r="E687" s="4" t="n"/>
      <c r="F687" s="5" t="n"/>
      <c r="G687" s="6" t="n"/>
      <c r="H687" s="4" t="n"/>
      <c r="I687" s="7" t="n"/>
      <c r="J687" s="4" t="n"/>
    </row>
    <row r="688" ht="22" customHeight="1">
      <c r="A688" s="3">
        <f>IF(C688="","",ROW()-2)</f>
        <v/>
      </c>
      <c r="B688" s="3" t="n"/>
      <c r="C688" s="3" t="n"/>
      <c r="D688" s="4" t="n"/>
      <c r="E688" s="4" t="n"/>
      <c r="F688" s="5" t="n"/>
      <c r="G688" s="6" t="n"/>
      <c r="H688" s="4" t="n"/>
      <c r="I688" s="7" t="n"/>
      <c r="J688" s="4" t="n"/>
    </row>
    <row r="689" ht="22" customHeight="1">
      <c r="A689" s="3">
        <f>IF(C689="","",ROW()-2)</f>
        <v/>
      </c>
      <c r="B689" s="3" t="n"/>
      <c r="C689" s="3" t="n"/>
      <c r="D689" s="4" t="n"/>
      <c r="E689" s="4" t="n"/>
      <c r="F689" s="5" t="n"/>
      <c r="G689" s="6" t="n"/>
      <c r="H689" s="4" t="n"/>
      <c r="I689" s="7" t="n"/>
      <c r="J689" s="4" t="n"/>
    </row>
    <row r="690" ht="22" customHeight="1">
      <c r="A690" s="3">
        <f>IF(C690="","",ROW()-2)</f>
        <v/>
      </c>
      <c r="B690" s="3" t="n"/>
      <c r="C690" s="3" t="n"/>
      <c r="D690" s="4" t="n"/>
      <c r="E690" s="4" t="n"/>
      <c r="F690" s="5" t="n"/>
      <c r="G690" s="6" t="n"/>
      <c r="H690" s="4" t="n"/>
      <c r="I690" s="7" t="n"/>
      <c r="J690" s="4" t="n"/>
    </row>
    <row r="691" ht="22" customHeight="1">
      <c r="A691" s="3">
        <f>IF(C691="","",ROW()-2)</f>
        <v/>
      </c>
      <c r="B691" s="3" t="n"/>
      <c r="C691" s="3" t="n"/>
      <c r="D691" s="4" t="n"/>
      <c r="E691" s="4" t="n"/>
      <c r="F691" s="5" t="n"/>
      <c r="G691" s="6" t="n"/>
      <c r="H691" s="4" t="n"/>
      <c r="I691" s="7" t="n"/>
      <c r="J691" s="4" t="n"/>
    </row>
    <row r="692" ht="22" customHeight="1">
      <c r="A692" s="3">
        <f>IF(C692="","",ROW()-2)</f>
        <v/>
      </c>
      <c r="B692" s="3" t="n"/>
      <c r="C692" s="3" t="n"/>
      <c r="D692" s="4" t="n"/>
      <c r="E692" s="4" t="n"/>
      <c r="F692" s="5" t="n"/>
      <c r="G692" s="6" t="n"/>
      <c r="H692" s="4" t="n"/>
      <c r="I692" s="7" t="n"/>
      <c r="J692" s="4" t="n"/>
    </row>
    <row r="693" ht="22" customHeight="1">
      <c r="A693" s="3">
        <f>IF(C693="","",ROW()-2)</f>
        <v/>
      </c>
      <c r="B693" s="3" t="n"/>
      <c r="C693" s="3" t="n"/>
      <c r="D693" s="4" t="n"/>
      <c r="E693" s="4" t="n"/>
      <c r="F693" s="5" t="n"/>
      <c r="G693" s="6" t="n"/>
      <c r="H693" s="4" t="n"/>
      <c r="I693" s="7" t="n"/>
      <c r="J693" s="4" t="n"/>
    </row>
    <row r="694" ht="22" customHeight="1">
      <c r="A694" s="3">
        <f>IF(C694="","",ROW()-2)</f>
        <v/>
      </c>
      <c r="B694" s="3" t="n"/>
      <c r="C694" s="3" t="n"/>
      <c r="D694" s="4" t="n"/>
      <c r="E694" s="4" t="n"/>
      <c r="F694" s="5" t="n"/>
      <c r="G694" s="6" t="n"/>
      <c r="H694" s="4" t="n"/>
      <c r="I694" s="7" t="n"/>
      <c r="J694" s="4" t="n"/>
    </row>
    <row r="695" ht="22" customHeight="1">
      <c r="A695" s="3">
        <f>IF(C695="","",ROW()-2)</f>
        <v/>
      </c>
      <c r="B695" s="3" t="n"/>
      <c r="C695" s="3" t="n"/>
      <c r="D695" s="4" t="n"/>
      <c r="E695" s="4" t="n"/>
      <c r="F695" s="5" t="n"/>
      <c r="G695" s="6" t="n"/>
      <c r="H695" s="4" t="n"/>
      <c r="I695" s="7" t="n"/>
      <c r="J695" s="4" t="n"/>
    </row>
    <row r="696" ht="22" customHeight="1">
      <c r="A696" s="3">
        <f>IF(C696="","",ROW()-2)</f>
        <v/>
      </c>
      <c r="B696" s="3" t="n"/>
      <c r="C696" s="3" t="n"/>
      <c r="D696" s="4" t="n"/>
      <c r="E696" s="4" t="n"/>
      <c r="F696" s="5" t="n"/>
      <c r="G696" s="6" t="n"/>
      <c r="H696" s="4" t="n"/>
      <c r="I696" s="7" t="n"/>
      <c r="J696" s="4" t="n"/>
    </row>
    <row r="697" ht="22" customHeight="1">
      <c r="A697" s="3">
        <f>IF(C697="","",ROW()-2)</f>
        <v/>
      </c>
      <c r="B697" s="3" t="n"/>
      <c r="C697" s="3" t="n"/>
      <c r="D697" s="4" t="n"/>
      <c r="E697" s="4" t="n"/>
      <c r="F697" s="5" t="n"/>
      <c r="G697" s="6" t="n"/>
      <c r="H697" s="4" t="n"/>
      <c r="I697" s="7" t="n"/>
      <c r="J697" s="4" t="n"/>
    </row>
    <row r="698" ht="22" customHeight="1">
      <c r="A698" s="3">
        <f>IF(C698="","",ROW()-2)</f>
        <v/>
      </c>
      <c r="B698" s="3" t="n"/>
      <c r="C698" s="3" t="n"/>
      <c r="D698" s="4" t="n"/>
      <c r="E698" s="4" t="n"/>
      <c r="F698" s="5" t="n"/>
      <c r="G698" s="6" t="n"/>
      <c r="H698" s="4" t="n"/>
      <c r="I698" s="7" t="n"/>
      <c r="J698" s="4" t="n"/>
    </row>
    <row r="699" ht="22" customHeight="1">
      <c r="A699" s="3">
        <f>IF(C699="","",ROW()-2)</f>
        <v/>
      </c>
      <c r="B699" s="3" t="n"/>
      <c r="C699" s="3" t="n"/>
      <c r="D699" s="4" t="n"/>
      <c r="E699" s="4" t="n"/>
      <c r="F699" s="5" t="n"/>
      <c r="G699" s="6" t="n"/>
      <c r="H699" s="4" t="n"/>
      <c r="I699" s="7" t="n"/>
      <c r="J699" s="4" t="n"/>
    </row>
    <row r="700" ht="22" customHeight="1">
      <c r="A700" s="3">
        <f>IF(C700="","",ROW()-2)</f>
        <v/>
      </c>
      <c r="B700" s="3" t="n"/>
      <c r="C700" s="3" t="n"/>
      <c r="D700" s="4" t="n"/>
      <c r="E700" s="4" t="n"/>
      <c r="F700" s="5" t="n"/>
      <c r="G700" s="6" t="n"/>
      <c r="H700" s="4" t="n"/>
      <c r="I700" s="7" t="n"/>
      <c r="J700" s="4" t="n"/>
    </row>
    <row r="701" ht="22" customHeight="1">
      <c r="A701" s="3">
        <f>IF(C701="","",ROW()-2)</f>
        <v/>
      </c>
      <c r="B701" s="3" t="n"/>
      <c r="C701" s="3" t="n"/>
      <c r="D701" s="4" t="n"/>
      <c r="E701" s="4" t="n"/>
      <c r="F701" s="5" t="n"/>
      <c r="G701" s="6" t="n"/>
      <c r="H701" s="4" t="n"/>
      <c r="I701" s="7" t="n"/>
      <c r="J701" s="4" t="n"/>
    </row>
    <row r="702" ht="22" customHeight="1">
      <c r="A702" s="3">
        <f>IF(C702="","",ROW()-2)</f>
        <v/>
      </c>
      <c r="B702" s="3" t="n"/>
      <c r="C702" s="3" t="n"/>
      <c r="D702" s="4" t="n"/>
      <c r="E702" s="4" t="n"/>
      <c r="F702" s="5" t="n"/>
      <c r="G702" s="6" t="n"/>
      <c r="H702" s="4" t="n"/>
      <c r="I702" s="7" t="n"/>
      <c r="J702" s="4" t="n"/>
    </row>
    <row r="703" ht="22" customHeight="1">
      <c r="A703" s="3">
        <f>IF(C703="","",ROW()-2)</f>
        <v/>
      </c>
      <c r="B703" s="3" t="n"/>
      <c r="C703" s="3" t="n"/>
      <c r="D703" s="4" t="n"/>
      <c r="E703" s="4" t="n"/>
      <c r="F703" s="5" t="n"/>
      <c r="G703" s="6" t="n"/>
      <c r="H703" s="4" t="n"/>
      <c r="I703" s="7" t="n"/>
      <c r="J703" s="4" t="n"/>
    </row>
    <row r="704" ht="22" customHeight="1">
      <c r="A704" s="3">
        <f>IF(C704="","",ROW()-2)</f>
        <v/>
      </c>
      <c r="B704" s="3" t="n"/>
      <c r="C704" s="3" t="n"/>
      <c r="D704" s="4" t="n"/>
      <c r="E704" s="4" t="n"/>
      <c r="F704" s="5" t="n"/>
      <c r="G704" s="6" t="n"/>
      <c r="H704" s="4" t="n"/>
      <c r="I704" s="7" t="n"/>
      <c r="J704" s="4" t="n"/>
    </row>
    <row r="705" ht="22" customHeight="1">
      <c r="A705" s="3">
        <f>IF(C705="","",ROW()-2)</f>
        <v/>
      </c>
      <c r="B705" s="3" t="n"/>
      <c r="C705" s="3" t="n"/>
      <c r="D705" s="4" t="n"/>
      <c r="E705" s="4" t="n"/>
      <c r="F705" s="5" t="n"/>
      <c r="G705" s="6" t="n"/>
      <c r="H705" s="4" t="n"/>
      <c r="I705" s="7" t="n"/>
      <c r="J705" s="4" t="n"/>
    </row>
    <row r="706" ht="22" customHeight="1">
      <c r="A706" s="3">
        <f>IF(C706="","",ROW()-2)</f>
        <v/>
      </c>
      <c r="B706" s="3" t="n"/>
      <c r="C706" s="3" t="n"/>
      <c r="D706" s="4" t="n"/>
      <c r="E706" s="4" t="n"/>
      <c r="F706" s="5" t="n"/>
      <c r="G706" s="6" t="n"/>
      <c r="H706" s="4" t="n"/>
      <c r="I706" s="7" t="n"/>
      <c r="J706" s="4" t="n"/>
    </row>
    <row r="707" ht="22" customHeight="1">
      <c r="A707" s="3">
        <f>IF(C707="","",ROW()-2)</f>
        <v/>
      </c>
      <c r="B707" s="3" t="n"/>
      <c r="C707" s="3" t="n"/>
      <c r="D707" s="4" t="n"/>
      <c r="E707" s="4" t="n"/>
      <c r="F707" s="5" t="n"/>
      <c r="G707" s="6" t="n"/>
      <c r="H707" s="4" t="n"/>
      <c r="I707" s="7" t="n"/>
      <c r="J707" s="4" t="n"/>
    </row>
    <row r="708" ht="22" customHeight="1">
      <c r="A708" s="3">
        <f>IF(C708="","",ROW()-2)</f>
        <v/>
      </c>
      <c r="B708" s="3" t="n"/>
      <c r="C708" s="3" t="n"/>
      <c r="D708" s="4" t="n"/>
      <c r="E708" s="4" t="n"/>
      <c r="F708" s="5" t="n"/>
      <c r="G708" s="6" t="n"/>
      <c r="H708" s="4" t="n"/>
      <c r="I708" s="7" t="n"/>
      <c r="J708" s="4" t="n"/>
    </row>
    <row r="709" ht="22" customHeight="1">
      <c r="A709" s="3">
        <f>IF(C709="","",ROW()-2)</f>
        <v/>
      </c>
      <c r="B709" s="3" t="n"/>
      <c r="C709" s="3" t="n"/>
      <c r="D709" s="4" t="n"/>
      <c r="E709" s="4" t="n"/>
      <c r="F709" s="5" t="n"/>
      <c r="G709" s="6" t="n"/>
      <c r="H709" s="4" t="n"/>
      <c r="I709" s="7" t="n"/>
      <c r="J709" s="4" t="n"/>
    </row>
    <row r="710" ht="22" customHeight="1">
      <c r="A710" s="3">
        <f>IF(C710="","",ROW()-2)</f>
        <v/>
      </c>
      <c r="B710" s="3" t="n"/>
      <c r="C710" s="3" t="n"/>
      <c r="D710" s="4" t="n"/>
      <c r="E710" s="4" t="n"/>
      <c r="F710" s="5" t="n"/>
      <c r="G710" s="6" t="n"/>
      <c r="H710" s="4" t="n"/>
      <c r="I710" s="7" t="n"/>
      <c r="J710" s="4" t="n"/>
    </row>
    <row r="711" ht="22" customHeight="1">
      <c r="A711" s="3">
        <f>IF(C711="","",ROW()-2)</f>
        <v/>
      </c>
      <c r="B711" s="3" t="n"/>
      <c r="C711" s="3" t="n"/>
      <c r="D711" s="4" t="n"/>
      <c r="E711" s="4" t="n"/>
      <c r="F711" s="5" t="n"/>
      <c r="G711" s="6" t="n"/>
      <c r="H711" s="4" t="n"/>
      <c r="I711" s="7" t="n"/>
      <c r="J711" s="4" t="n"/>
    </row>
    <row r="712" ht="22" customHeight="1">
      <c r="A712" s="3">
        <f>IF(C712="","",ROW()-2)</f>
        <v/>
      </c>
      <c r="B712" s="3" t="n"/>
      <c r="C712" s="3" t="n"/>
      <c r="D712" s="4" t="n"/>
      <c r="E712" s="4" t="n"/>
      <c r="F712" s="5" t="n"/>
      <c r="G712" s="6" t="n"/>
      <c r="H712" s="4" t="n"/>
      <c r="I712" s="7" t="n"/>
      <c r="J712" s="4" t="n"/>
    </row>
    <row r="713" ht="22" customHeight="1">
      <c r="A713" s="3">
        <f>IF(C713="","",ROW()-2)</f>
        <v/>
      </c>
      <c r="B713" s="3" t="n"/>
      <c r="C713" s="3" t="n"/>
      <c r="D713" s="4" t="n"/>
      <c r="E713" s="4" t="n"/>
      <c r="F713" s="5" t="n"/>
      <c r="G713" s="6" t="n"/>
      <c r="H713" s="4" t="n"/>
      <c r="I713" s="7" t="n"/>
      <c r="J713" s="4" t="n"/>
    </row>
    <row r="714" ht="22" customHeight="1">
      <c r="A714" s="3">
        <f>IF(C714="","",ROW()-2)</f>
        <v/>
      </c>
      <c r="B714" s="3" t="n"/>
      <c r="C714" s="3" t="n"/>
      <c r="D714" s="4" t="n"/>
      <c r="E714" s="4" t="n"/>
      <c r="F714" s="5" t="n"/>
      <c r="G714" s="6" t="n"/>
      <c r="H714" s="4" t="n"/>
      <c r="I714" s="7" t="n"/>
      <c r="J714" s="4" t="n"/>
    </row>
    <row r="715" ht="22" customHeight="1">
      <c r="A715" s="3">
        <f>IF(C715="","",ROW()-2)</f>
        <v/>
      </c>
      <c r="B715" s="3" t="n"/>
      <c r="C715" s="3" t="n"/>
      <c r="D715" s="4" t="n"/>
      <c r="E715" s="4" t="n"/>
      <c r="F715" s="5" t="n"/>
      <c r="G715" s="6" t="n"/>
      <c r="H715" s="4" t="n"/>
      <c r="I715" s="7" t="n"/>
      <c r="J715" s="4" t="n"/>
    </row>
    <row r="716" ht="22" customHeight="1">
      <c r="A716" s="3">
        <f>IF(C716="","",ROW()-2)</f>
        <v/>
      </c>
      <c r="B716" s="3" t="n"/>
      <c r="C716" s="3" t="n"/>
      <c r="D716" s="4" t="n"/>
      <c r="E716" s="4" t="n"/>
      <c r="F716" s="5" t="n"/>
      <c r="G716" s="6" t="n"/>
      <c r="H716" s="4" t="n"/>
      <c r="I716" s="7" t="n"/>
      <c r="J716" s="4" t="n"/>
    </row>
    <row r="717" ht="22" customHeight="1">
      <c r="A717" s="3">
        <f>IF(C717="","",ROW()-2)</f>
        <v/>
      </c>
      <c r="B717" s="3" t="n"/>
      <c r="C717" s="3" t="n"/>
      <c r="D717" s="4" t="n"/>
      <c r="E717" s="4" t="n"/>
      <c r="F717" s="5" t="n"/>
      <c r="G717" s="6" t="n"/>
      <c r="H717" s="4" t="n"/>
      <c r="I717" s="7" t="n"/>
      <c r="J717" s="4" t="n"/>
    </row>
    <row r="718" ht="22" customHeight="1">
      <c r="A718" s="3">
        <f>IF(C718="","",ROW()-2)</f>
        <v/>
      </c>
      <c r="B718" s="3" t="n"/>
      <c r="C718" s="3" t="n"/>
      <c r="D718" s="4" t="n"/>
      <c r="E718" s="4" t="n"/>
      <c r="F718" s="5" t="n"/>
      <c r="G718" s="6" t="n"/>
      <c r="H718" s="4" t="n"/>
      <c r="I718" s="7" t="n"/>
      <c r="J718" s="4" t="n"/>
    </row>
    <row r="719" ht="22" customHeight="1">
      <c r="A719" s="3">
        <f>IF(C719="","",ROW()-2)</f>
        <v/>
      </c>
      <c r="B719" s="3" t="n"/>
      <c r="C719" s="3" t="n"/>
      <c r="D719" s="4" t="n"/>
      <c r="E719" s="4" t="n"/>
      <c r="F719" s="5" t="n"/>
      <c r="G719" s="6" t="n"/>
      <c r="H719" s="4" t="n"/>
      <c r="I719" s="7" t="n"/>
      <c r="J719" s="4" t="n"/>
    </row>
    <row r="720" ht="22" customHeight="1">
      <c r="A720" s="3">
        <f>IF(C720="","",ROW()-2)</f>
        <v/>
      </c>
      <c r="B720" s="3" t="n"/>
      <c r="C720" s="3" t="n"/>
      <c r="D720" s="4" t="n"/>
      <c r="E720" s="4" t="n"/>
      <c r="F720" s="5" t="n"/>
      <c r="G720" s="6" t="n"/>
      <c r="H720" s="4" t="n"/>
      <c r="I720" s="7" t="n"/>
      <c r="J720" s="4" t="n"/>
    </row>
    <row r="721" ht="22" customHeight="1">
      <c r="A721" s="3">
        <f>IF(C721="","",ROW()-2)</f>
        <v/>
      </c>
      <c r="B721" s="3" t="n"/>
      <c r="C721" s="3" t="n"/>
      <c r="D721" s="4" t="n"/>
      <c r="E721" s="4" t="n"/>
      <c r="F721" s="5" t="n"/>
      <c r="G721" s="6" t="n"/>
      <c r="H721" s="4" t="n"/>
      <c r="I721" s="7" t="n"/>
      <c r="J721" s="4" t="n"/>
    </row>
    <row r="722" ht="22" customHeight="1">
      <c r="A722" s="3">
        <f>IF(C722="","",ROW()-2)</f>
        <v/>
      </c>
      <c r="B722" s="3" t="n"/>
      <c r="C722" s="3" t="n"/>
      <c r="D722" s="4" t="n"/>
      <c r="E722" s="4" t="n"/>
      <c r="F722" s="5" t="n"/>
      <c r="G722" s="6" t="n"/>
      <c r="H722" s="4" t="n"/>
      <c r="I722" s="7" t="n"/>
      <c r="J722" s="4" t="n"/>
    </row>
    <row r="723" ht="22" customHeight="1">
      <c r="A723" s="3">
        <f>IF(C723="","",ROW()-2)</f>
        <v/>
      </c>
      <c r="B723" s="3" t="n"/>
      <c r="C723" s="3" t="n"/>
      <c r="D723" s="4" t="n"/>
      <c r="E723" s="4" t="n"/>
      <c r="F723" s="5" t="n"/>
      <c r="G723" s="6" t="n"/>
      <c r="H723" s="4" t="n"/>
      <c r="I723" s="7" t="n"/>
      <c r="J723" s="4" t="n"/>
    </row>
    <row r="724" ht="22" customHeight="1">
      <c r="A724" s="3">
        <f>IF(C724="","",ROW()-2)</f>
        <v/>
      </c>
      <c r="B724" s="3" t="n"/>
      <c r="C724" s="3" t="n"/>
      <c r="D724" s="4" t="n"/>
      <c r="E724" s="4" t="n"/>
      <c r="F724" s="5" t="n"/>
      <c r="G724" s="6" t="n"/>
      <c r="H724" s="4" t="n"/>
      <c r="I724" s="7" t="n"/>
      <c r="J724" s="4" t="n"/>
    </row>
    <row r="725" ht="22" customHeight="1">
      <c r="A725" s="3">
        <f>IF(C725="","",ROW()-2)</f>
        <v/>
      </c>
      <c r="B725" s="3" t="n"/>
      <c r="C725" s="3" t="n"/>
      <c r="D725" s="4" t="n"/>
      <c r="E725" s="4" t="n"/>
      <c r="F725" s="5" t="n"/>
      <c r="G725" s="6" t="n"/>
      <c r="H725" s="4" t="n"/>
      <c r="I725" s="7" t="n"/>
      <c r="J725" s="4" t="n"/>
    </row>
    <row r="726" ht="22" customHeight="1">
      <c r="A726" s="3">
        <f>IF(C726="","",ROW()-2)</f>
        <v/>
      </c>
      <c r="B726" s="3" t="n"/>
      <c r="C726" s="3" t="n"/>
      <c r="D726" s="4" t="n"/>
      <c r="E726" s="4" t="n"/>
      <c r="F726" s="5" t="n"/>
      <c r="G726" s="6" t="n"/>
      <c r="H726" s="4" t="n"/>
      <c r="I726" s="7" t="n"/>
      <c r="J726" s="4" t="n"/>
    </row>
    <row r="727" ht="22" customHeight="1">
      <c r="A727" s="3">
        <f>IF(C727="","",ROW()-2)</f>
        <v/>
      </c>
      <c r="B727" s="3" t="n"/>
      <c r="C727" s="3" t="n"/>
      <c r="D727" s="4" t="n"/>
      <c r="E727" s="4" t="n"/>
      <c r="F727" s="5" t="n"/>
      <c r="G727" s="6" t="n"/>
      <c r="H727" s="4" t="n"/>
      <c r="I727" s="7" t="n"/>
      <c r="J727" s="4" t="n"/>
    </row>
    <row r="728" ht="22" customHeight="1">
      <c r="A728" s="3">
        <f>IF(C728="","",ROW()-2)</f>
        <v/>
      </c>
      <c r="B728" s="3" t="n"/>
      <c r="C728" s="3" t="n"/>
      <c r="D728" s="4" t="n"/>
      <c r="E728" s="4" t="n"/>
      <c r="F728" s="5" t="n"/>
      <c r="G728" s="6" t="n"/>
      <c r="H728" s="4" t="n"/>
      <c r="I728" s="7" t="n"/>
      <c r="J728" s="4" t="n"/>
    </row>
    <row r="729" ht="22" customHeight="1">
      <c r="A729" s="3">
        <f>IF(C729="","",ROW()-2)</f>
        <v/>
      </c>
      <c r="B729" s="3" t="n"/>
      <c r="C729" s="3" t="n"/>
      <c r="D729" s="4" t="n"/>
      <c r="E729" s="4" t="n"/>
      <c r="F729" s="5" t="n"/>
      <c r="G729" s="6" t="n"/>
      <c r="H729" s="4" t="n"/>
      <c r="I729" s="7" t="n"/>
      <c r="J729" s="4" t="n"/>
    </row>
    <row r="730" ht="22" customHeight="1">
      <c r="A730" s="3">
        <f>IF(C730="","",ROW()-2)</f>
        <v/>
      </c>
      <c r="B730" s="3" t="n"/>
      <c r="C730" s="3" t="n"/>
      <c r="D730" s="4" t="n"/>
      <c r="E730" s="4" t="n"/>
      <c r="F730" s="5" t="n"/>
      <c r="G730" s="6" t="n"/>
      <c r="H730" s="4" t="n"/>
      <c r="I730" s="7" t="n"/>
      <c r="J730" s="4" t="n"/>
    </row>
    <row r="731" ht="22" customHeight="1">
      <c r="A731" s="3">
        <f>IF(C731="","",ROW()-2)</f>
        <v/>
      </c>
      <c r="B731" s="3" t="n"/>
      <c r="C731" s="3" t="n"/>
      <c r="D731" s="4" t="n"/>
      <c r="E731" s="4" t="n"/>
      <c r="F731" s="5" t="n"/>
      <c r="G731" s="6" t="n"/>
      <c r="H731" s="4" t="n"/>
      <c r="I731" s="7" t="n"/>
      <c r="J731" s="4" t="n"/>
    </row>
    <row r="732" ht="22" customHeight="1">
      <c r="A732" s="3">
        <f>IF(C732="","",ROW()-2)</f>
        <v/>
      </c>
      <c r="B732" s="3" t="n"/>
      <c r="C732" s="3" t="n"/>
      <c r="D732" s="4" t="n"/>
      <c r="E732" s="4" t="n"/>
      <c r="F732" s="5" t="n"/>
      <c r="G732" s="6" t="n"/>
      <c r="H732" s="4" t="n"/>
      <c r="I732" s="7" t="n"/>
      <c r="J732" s="4" t="n"/>
    </row>
    <row r="733" ht="22" customHeight="1">
      <c r="A733" s="3">
        <f>IF(C733="","",ROW()-2)</f>
        <v/>
      </c>
      <c r="B733" s="3" t="n"/>
      <c r="C733" s="3" t="n"/>
      <c r="D733" s="4" t="n"/>
      <c r="E733" s="4" t="n"/>
      <c r="F733" s="5" t="n"/>
      <c r="G733" s="6" t="n"/>
      <c r="H733" s="4" t="n"/>
      <c r="I733" s="7" t="n"/>
      <c r="J733" s="4" t="n"/>
    </row>
    <row r="734" ht="22" customHeight="1">
      <c r="A734" s="3">
        <f>IF(C734="","",ROW()-2)</f>
        <v/>
      </c>
      <c r="B734" s="3" t="n"/>
      <c r="C734" s="3" t="n"/>
      <c r="D734" s="4" t="n"/>
      <c r="E734" s="4" t="n"/>
      <c r="F734" s="5" t="n"/>
      <c r="G734" s="6" t="n"/>
      <c r="H734" s="4" t="n"/>
      <c r="I734" s="7" t="n"/>
      <c r="J734" s="4" t="n"/>
    </row>
    <row r="735" ht="22" customHeight="1">
      <c r="A735" s="3">
        <f>IF(C735="","",ROW()-2)</f>
        <v/>
      </c>
      <c r="B735" s="3" t="n"/>
      <c r="C735" s="3" t="n"/>
      <c r="D735" s="4" t="n"/>
      <c r="E735" s="4" t="n"/>
      <c r="F735" s="5" t="n"/>
      <c r="G735" s="6" t="n"/>
      <c r="H735" s="4" t="n"/>
      <c r="I735" s="7" t="n"/>
      <c r="J735" s="4" t="n"/>
    </row>
    <row r="736" ht="22" customHeight="1">
      <c r="A736" s="3">
        <f>IF(C736="","",ROW()-2)</f>
        <v/>
      </c>
      <c r="B736" s="3" t="n"/>
      <c r="C736" s="3" t="n"/>
      <c r="D736" s="4" t="n"/>
      <c r="E736" s="4" t="n"/>
      <c r="F736" s="5" t="n"/>
      <c r="G736" s="6" t="n"/>
      <c r="H736" s="4" t="n"/>
      <c r="I736" s="7" t="n"/>
      <c r="J736" s="4" t="n"/>
    </row>
    <row r="737" ht="22" customHeight="1">
      <c r="A737" s="3">
        <f>IF(C737="","",ROW()-2)</f>
        <v/>
      </c>
      <c r="B737" s="3" t="n"/>
      <c r="C737" s="3" t="n"/>
      <c r="D737" s="4" t="n"/>
      <c r="E737" s="4" t="n"/>
      <c r="F737" s="5" t="n"/>
      <c r="G737" s="6" t="n"/>
      <c r="H737" s="4" t="n"/>
      <c r="I737" s="7" t="n"/>
      <c r="J737" s="4" t="n"/>
    </row>
    <row r="738" ht="22" customHeight="1">
      <c r="A738" s="3">
        <f>IF(C738="","",ROW()-2)</f>
        <v/>
      </c>
      <c r="B738" s="3" t="n"/>
      <c r="C738" s="3" t="n"/>
      <c r="D738" s="4" t="n"/>
      <c r="E738" s="4" t="n"/>
      <c r="F738" s="5" t="n"/>
      <c r="G738" s="6" t="n"/>
      <c r="H738" s="4" t="n"/>
      <c r="I738" s="7" t="n"/>
      <c r="J738" s="4" t="n"/>
    </row>
    <row r="739" ht="22" customHeight="1">
      <c r="A739" s="3">
        <f>IF(C739="","",ROW()-2)</f>
        <v/>
      </c>
      <c r="B739" s="3" t="n"/>
      <c r="C739" s="3" t="n"/>
      <c r="D739" s="4" t="n"/>
      <c r="E739" s="4" t="n"/>
      <c r="F739" s="5" t="n"/>
      <c r="G739" s="6" t="n"/>
      <c r="H739" s="4" t="n"/>
      <c r="I739" s="7" t="n"/>
      <c r="J739" s="4" t="n"/>
    </row>
    <row r="740" ht="22" customHeight="1">
      <c r="A740" s="3">
        <f>IF(C740="","",ROW()-2)</f>
        <v/>
      </c>
      <c r="B740" s="3" t="n"/>
      <c r="C740" s="3" t="n"/>
      <c r="D740" s="4" t="n"/>
      <c r="E740" s="4" t="n"/>
      <c r="F740" s="5" t="n"/>
      <c r="G740" s="6" t="n"/>
      <c r="H740" s="4" t="n"/>
      <c r="I740" s="7" t="n"/>
      <c r="J740" s="4" t="n"/>
    </row>
    <row r="741" ht="22" customHeight="1">
      <c r="A741" s="3">
        <f>IF(C741="","",ROW()-2)</f>
        <v/>
      </c>
      <c r="B741" s="3" t="n"/>
      <c r="C741" s="3" t="n"/>
      <c r="D741" s="4" t="n"/>
      <c r="E741" s="4" t="n"/>
      <c r="F741" s="5" t="n"/>
      <c r="G741" s="6" t="n"/>
      <c r="H741" s="4" t="n"/>
      <c r="I741" s="7" t="n"/>
      <c r="J741" s="4" t="n"/>
    </row>
    <row r="742" ht="22" customHeight="1">
      <c r="A742" s="3">
        <f>IF(C742="","",ROW()-2)</f>
        <v/>
      </c>
      <c r="B742" s="3" t="n"/>
      <c r="C742" s="3" t="n"/>
      <c r="D742" s="4" t="n"/>
      <c r="E742" s="4" t="n"/>
      <c r="F742" s="5" t="n"/>
      <c r="G742" s="6" t="n"/>
      <c r="H742" s="4" t="n"/>
      <c r="I742" s="7" t="n"/>
      <c r="J742" s="4" t="n"/>
    </row>
    <row r="743" ht="22" customHeight="1">
      <c r="A743" s="3">
        <f>IF(C743="","",ROW()-2)</f>
        <v/>
      </c>
      <c r="B743" s="3" t="n"/>
      <c r="C743" s="3" t="n"/>
      <c r="D743" s="4" t="n"/>
      <c r="E743" s="4" t="n"/>
      <c r="F743" s="5" t="n"/>
      <c r="G743" s="6" t="n"/>
      <c r="H743" s="4" t="n"/>
      <c r="I743" s="7" t="n"/>
      <c r="J743" s="4" t="n"/>
    </row>
    <row r="744" ht="22" customHeight="1">
      <c r="A744" s="3">
        <f>IF(C744="","",ROW()-2)</f>
        <v/>
      </c>
      <c r="B744" s="3" t="n"/>
      <c r="C744" s="3" t="n"/>
      <c r="D744" s="4" t="n"/>
      <c r="E744" s="4" t="n"/>
      <c r="F744" s="5" t="n"/>
      <c r="G744" s="6" t="n"/>
      <c r="H744" s="4" t="n"/>
      <c r="I744" s="7" t="n"/>
      <c r="J744" s="4" t="n"/>
    </row>
    <row r="745" ht="22" customHeight="1">
      <c r="A745" s="3">
        <f>IF(C745="","",ROW()-2)</f>
        <v/>
      </c>
      <c r="B745" s="3" t="n"/>
      <c r="C745" s="3" t="n"/>
      <c r="D745" s="4" t="n"/>
      <c r="E745" s="4" t="n"/>
      <c r="F745" s="5" t="n"/>
      <c r="G745" s="6" t="n"/>
      <c r="H745" s="4" t="n"/>
      <c r="I745" s="7" t="n"/>
      <c r="J745" s="4" t="n"/>
    </row>
    <row r="746" ht="22" customHeight="1">
      <c r="A746" s="3">
        <f>IF(C746="","",ROW()-2)</f>
        <v/>
      </c>
      <c r="B746" s="3" t="n"/>
      <c r="C746" s="3" t="n"/>
      <c r="D746" s="4" t="n"/>
      <c r="E746" s="4" t="n"/>
      <c r="F746" s="5" t="n"/>
      <c r="G746" s="6" t="n"/>
      <c r="H746" s="4" t="n"/>
      <c r="I746" s="7" t="n"/>
      <c r="J746" s="4" t="n"/>
    </row>
    <row r="747" ht="22" customHeight="1">
      <c r="A747" s="3">
        <f>IF(C747="","",ROW()-2)</f>
        <v/>
      </c>
      <c r="B747" s="3" t="n"/>
      <c r="C747" s="3" t="n"/>
      <c r="D747" s="4" t="n"/>
      <c r="E747" s="4" t="n"/>
      <c r="F747" s="5" t="n"/>
      <c r="G747" s="6" t="n"/>
      <c r="H747" s="4" t="n"/>
      <c r="I747" s="7" t="n"/>
      <c r="J747" s="4" t="n"/>
    </row>
    <row r="748" ht="22" customHeight="1">
      <c r="A748" s="3">
        <f>IF(C748="","",ROW()-2)</f>
        <v/>
      </c>
      <c r="B748" s="3" t="n"/>
      <c r="C748" s="3" t="n"/>
      <c r="D748" s="4" t="n"/>
      <c r="E748" s="4" t="n"/>
      <c r="F748" s="5" t="n"/>
      <c r="G748" s="6" t="n"/>
      <c r="H748" s="4" t="n"/>
      <c r="I748" s="7" t="n"/>
      <c r="J748" s="4" t="n"/>
    </row>
    <row r="749" ht="22" customHeight="1">
      <c r="A749" s="3">
        <f>IF(C749="","",ROW()-2)</f>
        <v/>
      </c>
      <c r="B749" s="3" t="n"/>
      <c r="C749" s="3" t="n"/>
      <c r="D749" s="4" t="n"/>
      <c r="E749" s="4" t="n"/>
      <c r="F749" s="5" t="n"/>
      <c r="G749" s="6" t="n"/>
      <c r="H749" s="4" t="n"/>
      <c r="I749" s="7" t="n"/>
      <c r="J749" s="4" t="n"/>
    </row>
    <row r="750" ht="22" customHeight="1">
      <c r="A750" s="3">
        <f>IF(C750="","",ROW()-2)</f>
        <v/>
      </c>
      <c r="B750" s="3" t="n"/>
      <c r="C750" s="3" t="n"/>
      <c r="D750" s="4" t="n"/>
      <c r="E750" s="4" t="n"/>
      <c r="F750" s="5" t="n"/>
      <c r="G750" s="6" t="n"/>
      <c r="H750" s="4" t="n"/>
      <c r="I750" s="7" t="n"/>
      <c r="J750" s="4" t="n"/>
    </row>
    <row r="751" ht="22" customHeight="1">
      <c r="A751" s="3">
        <f>IF(C751="","",ROW()-2)</f>
        <v/>
      </c>
      <c r="B751" s="3" t="n"/>
      <c r="C751" s="3" t="n"/>
      <c r="D751" s="4" t="n"/>
      <c r="E751" s="4" t="n"/>
      <c r="F751" s="5" t="n"/>
      <c r="G751" s="6" t="n"/>
      <c r="H751" s="4" t="n"/>
      <c r="I751" s="7" t="n"/>
      <c r="J751" s="4" t="n"/>
    </row>
    <row r="752" ht="22" customHeight="1">
      <c r="A752" s="3">
        <f>IF(C752="","",ROW()-2)</f>
        <v/>
      </c>
      <c r="B752" s="3" t="n"/>
      <c r="C752" s="3" t="n"/>
      <c r="D752" s="4" t="n"/>
      <c r="E752" s="4" t="n"/>
      <c r="F752" s="5" t="n"/>
      <c r="G752" s="6" t="n"/>
      <c r="H752" s="4" t="n"/>
      <c r="I752" s="7" t="n"/>
      <c r="J752" s="4" t="n"/>
    </row>
    <row r="753" ht="22" customHeight="1">
      <c r="A753" s="3">
        <f>IF(C753="","",ROW()-2)</f>
        <v/>
      </c>
      <c r="B753" s="3" t="n"/>
      <c r="C753" s="3" t="n"/>
      <c r="D753" s="4" t="n"/>
      <c r="E753" s="4" t="n"/>
      <c r="F753" s="5" t="n"/>
      <c r="G753" s="6" t="n"/>
      <c r="H753" s="4" t="n"/>
      <c r="I753" s="7" t="n"/>
      <c r="J753" s="4" t="n"/>
    </row>
    <row r="754" ht="22" customHeight="1">
      <c r="A754" s="3">
        <f>IF(C754="","",ROW()-2)</f>
        <v/>
      </c>
      <c r="B754" s="3" t="n"/>
      <c r="C754" s="3" t="n"/>
      <c r="D754" s="4" t="n"/>
      <c r="E754" s="4" t="n"/>
      <c r="F754" s="5" t="n"/>
      <c r="G754" s="6" t="n"/>
      <c r="H754" s="4" t="n"/>
      <c r="I754" s="7" t="n"/>
      <c r="J754" s="4" t="n"/>
    </row>
    <row r="755" ht="22" customHeight="1">
      <c r="A755" s="3">
        <f>IF(C755="","",ROW()-2)</f>
        <v/>
      </c>
      <c r="B755" s="3" t="n"/>
      <c r="C755" s="3" t="n"/>
      <c r="D755" s="4" t="n"/>
      <c r="E755" s="4" t="n"/>
      <c r="F755" s="5" t="n"/>
      <c r="G755" s="6" t="n"/>
      <c r="H755" s="4" t="n"/>
      <c r="I755" s="7" t="n"/>
      <c r="J755" s="4" t="n"/>
    </row>
    <row r="756" ht="22" customHeight="1">
      <c r="A756" s="3">
        <f>IF(C756="","",ROW()-2)</f>
        <v/>
      </c>
      <c r="B756" s="3" t="n"/>
      <c r="C756" s="3" t="n"/>
      <c r="D756" s="4" t="n"/>
      <c r="E756" s="4" t="n"/>
      <c r="F756" s="5" t="n"/>
      <c r="G756" s="6" t="n"/>
      <c r="H756" s="4" t="n"/>
      <c r="I756" s="7" t="n"/>
      <c r="J756" s="4" t="n"/>
    </row>
    <row r="757" ht="22" customHeight="1">
      <c r="A757" s="3">
        <f>IF(C757="","",ROW()-2)</f>
        <v/>
      </c>
      <c r="B757" s="3" t="n"/>
      <c r="C757" s="3" t="n"/>
      <c r="D757" s="4" t="n"/>
      <c r="E757" s="4" t="n"/>
      <c r="F757" s="5" t="n"/>
      <c r="G757" s="6" t="n"/>
      <c r="H757" s="4" t="n"/>
      <c r="I757" s="7" t="n"/>
      <c r="J757" s="4" t="n"/>
    </row>
    <row r="758" ht="22" customHeight="1">
      <c r="A758" s="3">
        <f>IF(C758="","",ROW()-2)</f>
        <v/>
      </c>
      <c r="B758" s="3" t="n"/>
      <c r="C758" s="3" t="n"/>
      <c r="D758" s="4" t="n"/>
      <c r="E758" s="4" t="n"/>
      <c r="F758" s="5" t="n"/>
      <c r="G758" s="6" t="n"/>
      <c r="H758" s="4" t="n"/>
      <c r="I758" s="7" t="n"/>
      <c r="J758" s="4" t="n"/>
    </row>
    <row r="759" ht="22" customHeight="1">
      <c r="A759" s="3">
        <f>IF(C759="","",ROW()-2)</f>
        <v/>
      </c>
      <c r="B759" s="3" t="n"/>
      <c r="C759" s="3" t="n"/>
      <c r="D759" s="4" t="n"/>
      <c r="E759" s="4" t="n"/>
      <c r="F759" s="5" t="n"/>
      <c r="G759" s="6" t="n"/>
      <c r="H759" s="4" t="n"/>
      <c r="I759" s="7" t="n"/>
      <c r="J759" s="4" t="n"/>
    </row>
    <row r="760" ht="22" customHeight="1">
      <c r="A760" s="3">
        <f>IF(C760="","",ROW()-2)</f>
        <v/>
      </c>
      <c r="B760" s="3" t="n"/>
      <c r="C760" s="3" t="n"/>
      <c r="D760" s="4" t="n"/>
      <c r="E760" s="4" t="n"/>
      <c r="F760" s="5" t="n"/>
      <c r="G760" s="6" t="n"/>
      <c r="H760" s="4" t="n"/>
      <c r="I760" s="7" t="n"/>
      <c r="J760" s="4" t="n"/>
    </row>
    <row r="761" ht="22" customHeight="1">
      <c r="A761" s="3">
        <f>IF(C761="","",ROW()-2)</f>
        <v/>
      </c>
      <c r="B761" s="3" t="n"/>
      <c r="C761" s="3" t="n"/>
      <c r="D761" s="4" t="n"/>
      <c r="E761" s="4" t="n"/>
      <c r="F761" s="5" t="n"/>
      <c r="G761" s="6" t="n"/>
      <c r="H761" s="4" t="n"/>
      <c r="I761" s="7" t="n"/>
      <c r="J761" s="4" t="n"/>
    </row>
    <row r="762" ht="22" customHeight="1">
      <c r="A762" s="3">
        <f>IF(C762="","",ROW()-2)</f>
        <v/>
      </c>
      <c r="B762" s="3" t="n"/>
      <c r="C762" s="3" t="n"/>
      <c r="D762" s="4" t="n"/>
      <c r="E762" s="4" t="n"/>
      <c r="F762" s="5" t="n"/>
      <c r="G762" s="6" t="n"/>
      <c r="H762" s="4" t="n"/>
      <c r="I762" s="7" t="n"/>
      <c r="J762" s="4" t="n"/>
    </row>
    <row r="763" ht="22" customHeight="1">
      <c r="A763" s="3">
        <f>IF(C763="","",ROW()-2)</f>
        <v/>
      </c>
      <c r="B763" s="3" t="n"/>
      <c r="C763" s="3" t="n"/>
      <c r="D763" s="4" t="n"/>
      <c r="E763" s="4" t="n"/>
      <c r="F763" s="5" t="n"/>
      <c r="G763" s="6" t="n"/>
      <c r="H763" s="4" t="n"/>
      <c r="I763" s="7" t="n"/>
      <c r="J763" s="4" t="n"/>
    </row>
    <row r="764" ht="22" customHeight="1">
      <c r="A764" s="3">
        <f>IF(C764="","",ROW()-2)</f>
        <v/>
      </c>
      <c r="B764" s="3" t="n"/>
      <c r="C764" s="3" t="n"/>
      <c r="D764" s="4" t="n"/>
      <c r="E764" s="4" t="n"/>
      <c r="F764" s="5" t="n"/>
      <c r="G764" s="6" t="n"/>
      <c r="H764" s="4" t="n"/>
      <c r="I764" s="7" t="n"/>
      <c r="J764" s="4" t="n"/>
    </row>
    <row r="765" ht="22" customHeight="1">
      <c r="A765" s="3">
        <f>IF(C765="","",ROW()-2)</f>
        <v/>
      </c>
      <c r="B765" s="3" t="n"/>
      <c r="C765" s="3" t="n"/>
      <c r="D765" s="4" t="n"/>
      <c r="E765" s="4" t="n"/>
      <c r="F765" s="5" t="n"/>
      <c r="G765" s="6" t="n"/>
      <c r="H765" s="4" t="n"/>
      <c r="I765" s="7" t="n"/>
      <c r="J765" s="4" t="n"/>
    </row>
    <row r="766" ht="22" customHeight="1">
      <c r="A766" s="3">
        <f>IF(C766="","",ROW()-2)</f>
        <v/>
      </c>
      <c r="B766" s="3" t="n"/>
      <c r="C766" s="3" t="n"/>
      <c r="D766" s="4" t="n"/>
      <c r="E766" s="4" t="n"/>
      <c r="F766" s="5" t="n"/>
      <c r="G766" s="6" t="n"/>
      <c r="H766" s="4" t="n"/>
      <c r="I766" s="7" t="n"/>
      <c r="J766" s="4" t="n"/>
    </row>
    <row r="767" ht="22" customHeight="1">
      <c r="A767" s="3">
        <f>IF(C767="","",ROW()-2)</f>
        <v/>
      </c>
      <c r="B767" s="3" t="n"/>
      <c r="C767" s="3" t="n"/>
      <c r="D767" s="4" t="n"/>
      <c r="E767" s="4" t="n"/>
      <c r="F767" s="5" t="n"/>
      <c r="G767" s="6" t="n"/>
      <c r="H767" s="4" t="n"/>
      <c r="I767" s="7" t="n"/>
      <c r="J767" s="4" t="n"/>
    </row>
    <row r="768" ht="22" customHeight="1">
      <c r="A768" s="3">
        <f>IF(C768="","",ROW()-2)</f>
        <v/>
      </c>
      <c r="B768" s="3" t="n"/>
      <c r="C768" s="3" t="n"/>
      <c r="D768" s="4" t="n"/>
      <c r="E768" s="4" t="n"/>
      <c r="F768" s="5" t="n"/>
      <c r="G768" s="6" t="n"/>
      <c r="H768" s="4" t="n"/>
      <c r="I768" s="7" t="n"/>
      <c r="J768" s="4" t="n"/>
    </row>
    <row r="769" ht="22" customHeight="1">
      <c r="A769" s="3">
        <f>IF(C769="","",ROW()-2)</f>
        <v/>
      </c>
      <c r="B769" s="3" t="n"/>
      <c r="C769" s="3" t="n"/>
      <c r="D769" s="4" t="n"/>
      <c r="E769" s="4" t="n"/>
      <c r="F769" s="5" t="n"/>
      <c r="G769" s="6" t="n"/>
      <c r="H769" s="4" t="n"/>
      <c r="I769" s="7" t="n"/>
      <c r="J769" s="4" t="n"/>
    </row>
    <row r="770" ht="22" customHeight="1">
      <c r="A770" s="3">
        <f>IF(C770="","",ROW()-2)</f>
        <v/>
      </c>
      <c r="B770" s="3" t="n"/>
      <c r="C770" s="3" t="n"/>
      <c r="D770" s="4" t="n"/>
      <c r="E770" s="4" t="n"/>
      <c r="F770" s="5" t="n"/>
      <c r="G770" s="6" t="n"/>
      <c r="H770" s="4" t="n"/>
      <c r="I770" s="7" t="n"/>
      <c r="J770" s="4" t="n"/>
    </row>
    <row r="771" ht="22" customHeight="1">
      <c r="A771" s="3">
        <f>IF(C771="","",ROW()-2)</f>
        <v/>
      </c>
      <c r="B771" s="3" t="n"/>
      <c r="C771" s="3" t="n"/>
      <c r="D771" s="4" t="n"/>
      <c r="E771" s="4" t="n"/>
      <c r="F771" s="5" t="n"/>
      <c r="G771" s="6" t="n"/>
      <c r="H771" s="4" t="n"/>
      <c r="I771" s="7" t="n"/>
      <c r="J771" s="4" t="n"/>
    </row>
    <row r="772" ht="22" customHeight="1">
      <c r="A772" s="3">
        <f>IF(C772="","",ROW()-2)</f>
        <v/>
      </c>
      <c r="B772" s="3" t="n"/>
      <c r="C772" s="3" t="n"/>
      <c r="D772" s="4" t="n"/>
      <c r="E772" s="4" t="n"/>
      <c r="F772" s="5" t="n"/>
      <c r="G772" s="6" t="n"/>
      <c r="H772" s="4" t="n"/>
      <c r="I772" s="7" t="n"/>
      <c r="J772" s="4" t="n"/>
    </row>
    <row r="773" ht="22" customHeight="1">
      <c r="A773" s="3">
        <f>IF(C773="","",ROW()-2)</f>
        <v/>
      </c>
      <c r="B773" s="3" t="n"/>
      <c r="C773" s="3" t="n"/>
      <c r="D773" s="4" t="n"/>
      <c r="E773" s="4" t="n"/>
      <c r="F773" s="5" t="n"/>
      <c r="G773" s="6" t="n"/>
      <c r="H773" s="4" t="n"/>
      <c r="I773" s="7" t="n"/>
      <c r="J773" s="4" t="n"/>
    </row>
    <row r="774" ht="22" customHeight="1">
      <c r="A774" s="3">
        <f>IF(C774="","",ROW()-2)</f>
        <v/>
      </c>
      <c r="B774" s="3" t="n"/>
      <c r="C774" s="3" t="n"/>
      <c r="D774" s="4" t="n"/>
      <c r="E774" s="4" t="n"/>
      <c r="F774" s="5" t="n"/>
      <c r="G774" s="6" t="n"/>
      <c r="H774" s="4" t="n"/>
      <c r="I774" s="7" t="n"/>
      <c r="J774" s="4" t="n"/>
    </row>
    <row r="775" ht="22" customHeight="1">
      <c r="A775" s="3">
        <f>IF(C775="","",ROW()-2)</f>
        <v/>
      </c>
      <c r="B775" s="3" t="n"/>
      <c r="C775" s="3" t="n"/>
      <c r="D775" s="4" t="n"/>
      <c r="E775" s="4" t="n"/>
      <c r="F775" s="5" t="n"/>
      <c r="G775" s="6" t="n"/>
      <c r="H775" s="4" t="n"/>
      <c r="I775" s="7" t="n"/>
      <c r="J775" s="4" t="n"/>
    </row>
    <row r="776" ht="22" customHeight="1">
      <c r="A776" s="3">
        <f>IF(C776="","",ROW()-2)</f>
        <v/>
      </c>
      <c r="B776" s="3" t="n"/>
      <c r="C776" s="3" t="n"/>
      <c r="D776" s="4" t="n"/>
      <c r="E776" s="4" t="n"/>
      <c r="F776" s="5" t="n"/>
      <c r="G776" s="6" t="n"/>
      <c r="H776" s="4" t="n"/>
      <c r="I776" s="7" t="n"/>
      <c r="J776" s="4" t="n"/>
    </row>
    <row r="777" ht="22" customHeight="1">
      <c r="A777" s="3">
        <f>IF(C777="","",ROW()-2)</f>
        <v/>
      </c>
      <c r="B777" s="3" t="n"/>
      <c r="C777" s="3" t="n"/>
      <c r="D777" s="4" t="n"/>
      <c r="E777" s="4" t="n"/>
      <c r="F777" s="5" t="n"/>
      <c r="G777" s="6" t="n"/>
      <c r="H777" s="4" t="n"/>
      <c r="I777" s="7" t="n"/>
      <c r="J777" s="4" t="n"/>
    </row>
    <row r="778" ht="22" customHeight="1">
      <c r="A778" s="3">
        <f>IF(C778="","",ROW()-2)</f>
        <v/>
      </c>
      <c r="B778" s="3" t="n"/>
      <c r="C778" s="3" t="n"/>
      <c r="D778" s="4" t="n"/>
      <c r="E778" s="4" t="n"/>
      <c r="F778" s="5" t="n"/>
      <c r="G778" s="6" t="n"/>
      <c r="H778" s="4" t="n"/>
      <c r="I778" s="7" t="n"/>
      <c r="J778" s="4" t="n"/>
    </row>
    <row r="779" ht="22" customHeight="1">
      <c r="A779" s="3">
        <f>IF(C779="","",ROW()-2)</f>
        <v/>
      </c>
      <c r="B779" s="3" t="n"/>
      <c r="C779" s="3" t="n"/>
      <c r="D779" s="4" t="n"/>
      <c r="E779" s="4" t="n"/>
      <c r="F779" s="5" t="n"/>
      <c r="G779" s="6" t="n"/>
      <c r="H779" s="4" t="n"/>
      <c r="I779" s="7" t="n"/>
      <c r="J779" s="4" t="n"/>
    </row>
    <row r="780" ht="22" customHeight="1">
      <c r="A780" s="3">
        <f>IF(C780="","",ROW()-2)</f>
        <v/>
      </c>
      <c r="B780" s="3" t="n"/>
      <c r="C780" s="3" t="n"/>
      <c r="D780" s="4" t="n"/>
      <c r="E780" s="4" t="n"/>
      <c r="F780" s="5" t="n"/>
      <c r="G780" s="6" t="n"/>
      <c r="H780" s="4" t="n"/>
      <c r="I780" s="7" t="n"/>
      <c r="J780" s="4" t="n"/>
    </row>
    <row r="781" ht="22" customHeight="1">
      <c r="A781" s="3">
        <f>IF(C781="","",ROW()-2)</f>
        <v/>
      </c>
      <c r="B781" s="3" t="n"/>
      <c r="C781" s="3" t="n"/>
      <c r="D781" s="4" t="n"/>
      <c r="E781" s="4" t="n"/>
      <c r="F781" s="5" t="n"/>
      <c r="G781" s="6" t="n"/>
      <c r="H781" s="4" t="n"/>
      <c r="I781" s="7" t="n"/>
      <c r="J781" s="4" t="n"/>
    </row>
    <row r="782" ht="22" customHeight="1">
      <c r="A782" s="3">
        <f>IF(C782="","",ROW()-2)</f>
        <v/>
      </c>
      <c r="B782" s="3" t="n"/>
      <c r="C782" s="3" t="n"/>
      <c r="D782" s="4" t="n"/>
      <c r="E782" s="4" t="n"/>
      <c r="F782" s="5" t="n"/>
      <c r="G782" s="6" t="n"/>
      <c r="H782" s="4" t="n"/>
      <c r="I782" s="7" t="n"/>
      <c r="J782" s="4" t="n"/>
    </row>
    <row r="783" ht="22" customHeight="1">
      <c r="A783" s="3">
        <f>IF(C783="","",ROW()-2)</f>
        <v/>
      </c>
      <c r="B783" s="3" t="n"/>
      <c r="C783" s="3" t="n"/>
      <c r="D783" s="4" t="n"/>
      <c r="E783" s="4" t="n"/>
      <c r="F783" s="5" t="n"/>
      <c r="G783" s="6" t="n"/>
      <c r="H783" s="4" t="n"/>
      <c r="I783" s="7" t="n"/>
      <c r="J783" s="4" t="n"/>
    </row>
    <row r="784" ht="22" customHeight="1">
      <c r="A784" s="3">
        <f>IF(C784="","",ROW()-2)</f>
        <v/>
      </c>
      <c r="B784" s="3" t="n"/>
      <c r="C784" s="3" t="n"/>
      <c r="D784" s="4" t="n"/>
      <c r="E784" s="4" t="n"/>
      <c r="F784" s="5" t="n"/>
      <c r="G784" s="6" t="n"/>
      <c r="H784" s="4" t="n"/>
      <c r="I784" s="7" t="n"/>
      <c r="J784" s="4" t="n"/>
    </row>
    <row r="785" ht="22" customHeight="1">
      <c r="A785" s="3">
        <f>IF(C785="","",ROW()-2)</f>
        <v/>
      </c>
      <c r="B785" s="3" t="n"/>
      <c r="C785" s="3" t="n"/>
      <c r="D785" s="4" t="n"/>
      <c r="E785" s="4" t="n"/>
      <c r="F785" s="5" t="n"/>
      <c r="G785" s="6" t="n"/>
      <c r="H785" s="4" t="n"/>
      <c r="I785" s="7" t="n"/>
      <c r="J785" s="4" t="n"/>
    </row>
    <row r="786" ht="22" customHeight="1">
      <c r="A786" s="3">
        <f>IF(C786="","",ROW()-2)</f>
        <v/>
      </c>
      <c r="B786" s="3" t="n"/>
      <c r="C786" s="3" t="n"/>
      <c r="D786" s="4" t="n"/>
      <c r="E786" s="4" t="n"/>
      <c r="F786" s="5" t="n"/>
      <c r="G786" s="6" t="n"/>
      <c r="H786" s="4" t="n"/>
      <c r="I786" s="7" t="n"/>
      <c r="J786" s="4" t="n"/>
    </row>
    <row r="787" ht="22" customHeight="1">
      <c r="A787" s="3">
        <f>IF(C787="","",ROW()-2)</f>
        <v/>
      </c>
      <c r="B787" s="3" t="n"/>
      <c r="C787" s="3" t="n"/>
      <c r="D787" s="4" t="n"/>
      <c r="E787" s="4" t="n"/>
      <c r="F787" s="5" t="n"/>
      <c r="G787" s="6" t="n"/>
      <c r="H787" s="4" t="n"/>
      <c r="I787" s="7" t="n"/>
      <c r="J787" s="4" t="n"/>
    </row>
    <row r="788" ht="22" customHeight="1">
      <c r="A788" s="3">
        <f>IF(C788="","",ROW()-2)</f>
        <v/>
      </c>
      <c r="B788" s="3" t="n"/>
      <c r="C788" s="3" t="n"/>
      <c r="D788" s="4" t="n"/>
      <c r="E788" s="4" t="n"/>
      <c r="F788" s="5" t="n"/>
      <c r="G788" s="6" t="n"/>
      <c r="H788" s="4" t="n"/>
      <c r="I788" s="7" t="n"/>
      <c r="J788" s="4" t="n"/>
    </row>
    <row r="789" ht="22" customHeight="1">
      <c r="A789" s="3">
        <f>IF(C789="","",ROW()-2)</f>
        <v/>
      </c>
      <c r="B789" s="3" t="n"/>
      <c r="C789" s="3" t="n"/>
      <c r="D789" s="4" t="n"/>
      <c r="E789" s="4" t="n"/>
      <c r="F789" s="5" t="n"/>
      <c r="G789" s="6" t="n"/>
      <c r="H789" s="4" t="n"/>
      <c r="I789" s="7" t="n"/>
      <c r="J789" s="4" t="n"/>
    </row>
    <row r="790" ht="22" customHeight="1">
      <c r="A790" s="3">
        <f>IF(C790="","",ROW()-2)</f>
        <v/>
      </c>
      <c r="B790" s="3" t="n"/>
      <c r="C790" s="3" t="n"/>
      <c r="D790" s="4" t="n"/>
      <c r="E790" s="4" t="n"/>
      <c r="F790" s="5" t="n"/>
      <c r="G790" s="6" t="n"/>
      <c r="H790" s="4" t="n"/>
      <c r="I790" s="7" t="n"/>
      <c r="J790" s="4" t="n"/>
    </row>
    <row r="791" ht="22" customHeight="1">
      <c r="A791" s="3">
        <f>IF(C791="","",ROW()-2)</f>
        <v/>
      </c>
      <c r="B791" s="3" t="n"/>
      <c r="C791" s="3" t="n"/>
      <c r="D791" s="4" t="n"/>
      <c r="E791" s="4" t="n"/>
      <c r="F791" s="5" t="n"/>
      <c r="G791" s="6" t="n"/>
      <c r="H791" s="4" t="n"/>
      <c r="I791" s="7" t="n"/>
      <c r="J791" s="4" t="n"/>
    </row>
    <row r="792" ht="22" customHeight="1">
      <c r="A792" s="3">
        <f>IF(C792="","",ROW()-2)</f>
        <v/>
      </c>
      <c r="B792" s="3" t="n"/>
      <c r="C792" s="3" t="n"/>
      <c r="D792" s="4" t="n"/>
      <c r="E792" s="4" t="n"/>
      <c r="F792" s="5" t="n"/>
      <c r="G792" s="6" t="n"/>
      <c r="H792" s="4" t="n"/>
      <c r="I792" s="7" t="n"/>
      <c r="J792" s="4" t="n"/>
    </row>
    <row r="793" ht="22" customHeight="1">
      <c r="A793" s="3">
        <f>IF(C793="","",ROW()-2)</f>
        <v/>
      </c>
      <c r="B793" s="3" t="n"/>
      <c r="C793" s="3" t="n"/>
      <c r="D793" s="4" t="n"/>
      <c r="E793" s="4" t="n"/>
      <c r="F793" s="5" t="n"/>
      <c r="G793" s="6" t="n"/>
      <c r="H793" s="4" t="n"/>
      <c r="I793" s="7" t="n"/>
      <c r="J793" s="4" t="n"/>
    </row>
    <row r="794" ht="22" customHeight="1">
      <c r="A794" s="3">
        <f>IF(C794="","",ROW()-2)</f>
        <v/>
      </c>
      <c r="B794" s="3" t="n"/>
      <c r="C794" s="3" t="n"/>
      <c r="D794" s="4" t="n"/>
      <c r="E794" s="4" t="n"/>
      <c r="F794" s="5" t="n"/>
      <c r="G794" s="6" t="n"/>
      <c r="H794" s="4" t="n"/>
      <c r="I794" s="7" t="n"/>
      <c r="J794" s="4" t="n"/>
    </row>
    <row r="795" ht="22" customHeight="1">
      <c r="A795" s="3">
        <f>IF(C795="","",ROW()-2)</f>
        <v/>
      </c>
      <c r="B795" s="3" t="n"/>
      <c r="C795" s="3" t="n"/>
      <c r="D795" s="4" t="n"/>
      <c r="E795" s="4" t="n"/>
      <c r="F795" s="5" t="n"/>
      <c r="G795" s="6" t="n"/>
      <c r="H795" s="4" t="n"/>
      <c r="I795" s="7" t="n"/>
      <c r="J795" s="4" t="n"/>
    </row>
    <row r="796" ht="22" customHeight="1">
      <c r="A796" s="3">
        <f>IF(C796="","",ROW()-2)</f>
        <v/>
      </c>
      <c r="B796" s="3" t="n"/>
      <c r="C796" s="3" t="n"/>
      <c r="D796" s="4" t="n"/>
      <c r="E796" s="4" t="n"/>
      <c r="F796" s="5" t="n"/>
      <c r="G796" s="6" t="n"/>
      <c r="H796" s="4" t="n"/>
      <c r="I796" s="7" t="n"/>
      <c r="J796" s="4" t="n"/>
    </row>
    <row r="797" ht="22" customHeight="1">
      <c r="A797" s="3">
        <f>IF(C797="","",ROW()-2)</f>
        <v/>
      </c>
      <c r="B797" s="3" t="n"/>
      <c r="C797" s="3" t="n"/>
      <c r="D797" s="4" t="n"/>
      <c r="E797" s="4" t="n"/>
      <c r="F797" s="5" t="n"/>
      <c r="G797" s="6" t="n"/>
      <c r="H797" s="4" t="n"/>
      <c r="I797" s="7" t="n"/>
      <c r="J797" s="4" t="n"/>
    </row>
    <row r="798" ht="22" customHeight="1">
      <c r="A798" s="3">
        <f>IF(C798="","",ROW()-2)</f>
        <v/>
      </c>
      <c r="B798" s="3" t="n"/>
      <c r="C798" s="3" t="n"/>
      <c r="D798" s="4" t="n"/>
      <c r="E798" s="4" t="n"/>
      <c r="F798" s="5" t="n"/>
      <c r="G798" s="6" t="n"/>
      <c r="H798" s="4" t="n"/>
      <c r="I798" s="7" t="n"/>
      <c r="J798" s="4" t="n"/>
    </row>
    <row r="799" ht="22" customHeight="1">
      <c r="A799" s="3">
        <f>IF(C799="","",ROW()-2)</f>
        <v/>
      </c>
      <c r="B799" s="3" t="n"/>
      <c r="C799" s="3" t="n"/>
      <c r="D799" s="4" t="n"/>
      <c r="E799" s="4" t="n"/>
      <c r="F799" s="5" t="n"/>
      <c r="G799" s="6" t="n"/>
      <c r="H799" s="4" t="n"/>
      <c r="I799" s="7" t="n"/>
      <c r="J799" s="4" t="n"/>
    </row>
    <row r="800" ht="22" customHeight="1">
      <c r="A800" s="3">
        <f>IF(C800="","",ROW()-2)</f>
        <v/>
      </c>
      <c r="B800" s="3" t="n"/>
      <c r="C800" s="3" t="n"/>
      <c r="D800" s="4" t="n"/>
      <c r="E800" s="4" t="n"/>
      <c r="F800" s="5" t="n"/>
      <c r="G800" s="6" t="n"/>
      <c r="H800" s="4" t="n"/>
      <c r="I800" s="7" t="n"/>
      <c r="J800" s="4" t="n"/>
    </row>
    <row r="801" ht="22" customHeight="1">
      <c r="A801" s="3">
        <f>IF(C801="","",ROW()-2)</f>
        <v/>
      </c>
      <c r="B801" s="3" t="n"/>
      <c r="C801" s="3" t="n"/>
      <c r="D801" s="4" t="n"/>
      <c r="E801" s="4" t="n"/>
      <c r="F801" s="5" t="n"/>
      <c r="G801" s="6" t="n"/>
      <c r="H801" s="4" t="n"/>
      <c r="I801" s="7" t="n"/>
      <c r="J801" s="4" t="n"/>
    </row>
    <row r="802" ht="22" customHeight="1">
      <c r="A802" s="3">
        <f>IF(C802="","",ROW()-2)</f>
        <v/>
      </c>
      <c r="B802" s="3" t="n"/>
      <c r="C802" s="3" t="n"/>
      <c r="D802" s="4" t="n"/>
      <c r="E802" s="4" t="n"/>
      <c r="F802" s="5" t="n"/>
      <c r="G802" s="6" t="n"/>
      <c r="H802" s="4" t="n"/>
      <c r="I802" s="7" t="n"/>
      <c r="J802" s="4" t="n"/>
    </row>
    <row r="803" ht="22" customHeight="1">
      <c r="A803" s="3">
        <f>IF(C803="","",ROW()-2)</f>
        <v/>
      </c>
      <c r="B803" s="3" t="n"/>
      <c r="C803" s="3" t="n"/>
      <c r="D803" s="4" t="n"/>
      <c r="E803" s="4" t="n"/>
      <c r="F803" s="5" t="n"/>
      <c r="G803" s="6" t="n"/>
      <c r="H803" s="4" t="n"/>
      <c r="I803" s="7" t="n"/>
      <c r="J803" s="4" t="n"/>
    </row>
    <row r="804" ht="22" customHeight="1">
      <c r="A804" s="3">
        <f>IF(C804="","",ROW()-2)</f>
        <v/>
      </c>
      <c r="B804" s="3" t="n"/>
      <c r="C804" s="3" t="n"/>
      <c r="D804" s="4" t="n"/>
      <c r="E804" s="4" t="n"/>
      <c r="F804" s="5" t="n"/>
      <c r="G804" s="6" t="n"/>
      <c r="H804" s="4" t="n"/>
      <c r="I804" s="7" t="n"/>
      <c r="J804" s="4" t="n"/>
    </row>
    <row r="805" ht="22" customHeight="1">
      <c r="A805" s="3">
        <f>IF(C805="","",ROW()-2)</f>
        <v/>
      </c>
      <c r="B805" s="3" t="n"/>
      <c r="C805" s="3" t="n"/>
      <c r="D805" s="4" t="n"/>
      <c r="E805" s="4" t="n"/>
      <c r="F805" s="5" t="n"/>
      <c r="G805" s="6" t="n"/>
      <c r="H805" s="4" t="n"/>
      <c r="I805" s="7" t="n"/>
      <c r="J805" s="4" t="n"/>
    </row>
    <row r="806" ht="22" customHeight="1">
      <c r="A806" s="3">
        <f>IF(C806="","",ROW()-2)</f>
        <v/>
      </c>
      <c r="B806" s="3" t="n"/>
      <c r="C806" s="3" t="n"/>
      <c r="D806" s="4" t="n"/>
      <c r="E806" s="4" t="n"/>
      <c r="F806" s="5" t="n"/>
      <c r="G806" s="6" t="n"/>
      <c r="H806" s="4" t="n"/>
      <c r="I806" s="7" t="n"/>
      <c r="J806" s="4" t="n"/>
    </row>
    <row r="807" ht="22" customHeight="1">
      <c r="A807" s="3">
        <f>IF(C807="","",ROW()-2)</f>
        <v/>
      </c>
      <c r="B807" s="3" t="n"/>
      <c r="C807" s="3" t="n"/>
      <c r="D807" s="4" t="n"/>
      <c r="E807" s="4" t="n"/>
      <c r="F807" s="5" t="n"/>
      <c r="G807" s="6" t="n"/>
      <c r="H807" s="4" t="n"/>
      <c r="I807" s="7" t="n"/>
      <c r="J807" s="4" t="n"/>
    </row>
    <row r="808" ht="22" customHeight="1">
      <c r="A808" s="3">
        <f>IF(C808="","",ROW()-2)</f>
        <v/>
      </c>
      <c r="B808" s="3" t="n"/>
      <c r="C808" s="3" t="n"/>
      <c r="D808" s="4" t="n"/>
      <c r="E808" s="4" t="n"/>
      <c r="F808" s="5" t="n"/>
      <c r="G808" s="6" t="n"/>
      <c r="H808" s="4" t="n"/>
      <c r="I808" s="7" t="n"/>
      <c r="J808" s="4" t="n"/>
    </row>
    <row r="809" ht="22" customHeight="1">
      <c r="A809" s="3">
        <f>IF(C809="","",ROW()-2)</f>
        <v/>
      </c>
      <c r="B809" s="3" t="n"/>
      <c r="C809" s="3" t="n"/>
      <c r="D809" s="4" t="n"/>
      <c r="E809" s="4" t="n"/>
      <c r="F809" s="5" t="n"/>
      <c r="G809" s="6" t="n"/>
      <c r="H809" s="4" t="n"/>
      <c r="I809" s="7" t="n"/>
      <c r="J809" s="4" t="n"/>
    </row>
    <row r="810" ht="22" customHeight="1">
      <c r="A810" s="3">
        <f>IF(C810="","",ROW()-2)</f>
        <v/>
      </c>
      <c r="B810" s="3" t="n"/>
      <c r="C810" s="3" t="n"/>
      <c r="D810" s="4" t="n"/>
      <c r="E810" s="4" t="n"/>
      <c r="F810" s="5" t="n"/>
      <c r="G810" s="6" t="n"/>
      <c r="H810" s="4" t="n"/>
      <c r="I810" s="7" t="n"/>
      <c r="J810" s="4" t="n"/>
    </row>
    <row r="811" ht="22" customHeight="1">
      <c r="A811" s="3">
        <f>IF(C811="","",ROW()-2)</f>
        <v/>
      </c>
      <c r="B811" s="3" t="n"/>
      <c r="C811" s="3" t="n"/>
      <c r="D811" s="4" t="n"/>
      <c r="E811" s="4" t="n"/>
      <c r="F811" s="5" t="n"/>
      <c r="G811" s="6" t="n"/>
      <c r="H811" s="4" t="n"/>
      <c r="I811" s="7" t="n"/>
      <c r="J811" s="4" t="n"/>
    </row>
    <row r="812" ht="22" customHeight="1">
      <c r="A812" s="3">
        <f>IF(C812="","",ROW()-2)</f>
        <v/>
      </c>
      <c r="B812" s="3" t="n"/>
      <c r="C812" s="3" t="n"/>
      <c r="D812" s="4" t="n"/>
      <c r="E812" s="4" t="n"/>
      <c r="F812" s="5" t="n"/>
      <c r="G812" s="6" t="n"/>
      <c r="H812" s="4" t="n"/>
      <c r="I812" s="7" t="n"/>
      <c r="J812" s="4" t="n"/>
    </row>
    <row r="813" ht="22" customHeight="1">
      <c r="A813" s="3">
        <f>IF(C813="","",ROW()-2)</f>
        <v/>
      </c>
      <c r="B813" s="3" t="n"/>
      <c r="C813" s="3" t="n"/>
      <c r="D813" s="4" t="n"/>
      <c r="E813" s="4" t="n"/>
      <c r="F813" s="5" t="n"/>
      <c r="G813" s="6" t="n"/>
      <c r="H813" s="4" t="n"/>
      <c r="I813" s="7" t="n"/>
      <c r="J813" s="4" t="n"/>
    </row>
    <row r="814" ht="22" customHeight="1">
      <c r="A814" s="3">
        <f>IF(C814="","",ROW()-2)</f>
        <v/>
      </c>
      <c r="B814" s="3" t="n"/>
      <c r="C814" s="3" t="n"/>
      <c r="D814" s="4" t="n"/>
      <c r="E814" s="4" t="n"/>
      <c r="F814" s="5" t="n"/>
      <c r="G814" s="6" t="n"/>
      <c r="H814" s="4" t="n"/>
      <c r="I814" s="7" t="n"/>
      <c r="J814" s="4" t="n"/>
    </row>
    <row r="815" ht="22" customHeight="1">
      <c r="A815" s="3">
        <f>IF(C815="","",ROW()-2)</f>
        <v/>
      </c>
      <c r="B815" s="3" t="n"/>
      <c r="C815" s="3" t="n"/>
      <c r="D815" s="4" t="n"/>
      <c r="E815" s="4" t="n"/>
      <c r="F815" s="5" t="n"/>
      <c r="G815" s="6" t="n"/>
      <c r="H815" s="4" t="n"/>
      <c r="I815" s="7" t="n"/>
      <c r="J815" s="4" t="n"/>
    </row>
    <row r="816" ht="22" customHeight="1">
      <c r="A816" s="3">
        <f>IF(C816="","",ROW()-2)</f>
        <v/>
      </c>
      <c r="B816" s="3" t="n"/>
      <c r="C816" s="3" t="n"/>
      <c r="D816" s="4" t="n"/>
      <c r="E816" s="4" t="n"/>
      <c r="F816" s="5" t="n"/>
      <c r="G816" s="6" t="n"/>
      <c r="H816" s="4" t="n"/>
      <c r="I816" s="7" t="n"/>
      <c r="J816" s="4" t="n"/>
    </row>
    <row r="817" ht="22" customHeight="1">
      <c r="A817" s="3">
        <f>IF(C817="","",ROW()-2)</f>
        <v/>
      </c>
      <c r="B817" s="3" t="n"/>
      <c r="C817" s="3" t="n"/>
      <c r="D817" s="4" t="n"/>
      <c r="E817" s="4" t="n"/>
      <c r="F817" s="5" t="n"/>
      <c r="G817" s="6" t="n"/>
      <c r="H817" s="4" t="n"/>
      <c r="I817" s="7" t="n"/>
      <c r="J817" s="4" t="n"/>
    </row>
    <row r="818" ht="22" customHeight="1">
      <c r="A818" s="3">
        <f>IF(C818="","",ROW()-2)</f>
        <v/>
      </c>
      <c r="B818" s="3" t="n"/>
      <c r="C818" s="3" t="n"/>
      <c r="D818" s="4" t="n"/>
      <c r="E818" s="4" t="n"/>
      <c r="F818" s="5" t="n"/>
      <c r="G818" s="6" t="n"/>
      <c r="H818" s="4" t="n"/>
      <c r="I818" s="7" t="n"/>
      <c r="J818" s="4" t="n"/>
    </row>
    <row r="819" ht="22" customHeight="1">
      <c r="A819" s="3">
        <f>IF(C819="","",ROW()-2)</f>
        <v/>
      </c>
      <c r="B819" s="3" t="n"/>
      <c r="C819" s="3" t="n"/>
      <c r="D819" s="4" t="n"/>
      <c r="E819" s="4" t="n"/>
      <c r="F819" s="5" t="n"/>
      <c r="G819" s="6" t="n"/>
      <c r="H819" s="4" t="n"/>
      <c r="I819" s="7" t="n"/>
      <c r="J819" s="4" t="n"/>
    </row>
    <row r="820" ht="22" customHeight="1">
      <c r="A820" s="3">
        <f>IF(C820="","",ROW()-2)</f>
        <v/>
      </c>
      <c r="B820" s="3" t="n"/>
      <c r="C820" s="3" t="n"/>
      <c r="D820" s="4" t="n"/>
      <c r="E820" s="4" t="n"/>
      <c r="F820" s="5" t="n"/>
      <c r="G820" s="6" t="n"/>
      <c r="H820" s="4" t="n"/>
      <c r="I820" s="7" t="n"/>
      <c r="J820" s="4" t="n"/>
    </row>
    <row r="821" ht="22" customHeight="1">
      <c r="A821" s="3">
        <f>IF(C821="","",ROW()-2)</f>
        <v/>
      </c>
      <c r="B821" s="3" t="n"/>
      <c r="C821" s="3" t="n"/>
      <c r="D821" s="4" t="n"/>
      <c r="E821" s="4" t="n"/>
      <c r="F821" s="5" t="n"/>
      <c r="G821" s="6" t="n"/>
      <c r="H821" s="4" t="n"/>
      <c r="I821" s="7" t="n"/>
      <c r="J821" s="4" t="n"/>
    </row>
    <row r="822" ht="22" customHeight="1">
      <c r="A822" s="3">
        <f>IF(C822="","",ROW()-2)</f>
        <v/>
      </c>
      <c r="B822" s="3" t="n"/>
      <c r="C822" s="3" t="n"/>
      <c r="D822" s="4" t="n"/>
      <c r="E822" s="4" t="n"/>
      <c r="F822" s="5" t="n"/>
      <c r="G822" s="6" t="n"/>
      <c r="H822" s="4" t="n"/>
      <c r="I822" s="7" t="n"/>
      <c r="J822" s="4" t="n"/>
    </row>
    <row r="823" ht="22" customHeight="1">
      <c r="A823" s="3">
        <f>IF(C823="","",ROW()-2)</f>
        <v/>
      </c>
      <c r="B823" s="3" t="n"/>
      <c r="C823" s="3" t="n"/>
      <c r="D823" s="4" t="n"/>
      <c r="E823" s="4" t="n"/>
      <c r="F823" s="5" t="n"/>
      <c r="G823" s="6" t="n"/>
      <c r="H823" s="4" t="n"/>
      <c r="I823" s="7" t="n"/>
      <c r="J823" s="4" t="n"/>
    </row>
    <row r="824" ht="22" customHeight="1">
      <c r="A824" s="3">
        <f>IF(C824="","",ROW()-2)</f>
        <v/>
      </c>
      <c r="B824" s="3" t="n"/>
      <c r="C824" s="3" t="n"/>
      <c r="D824" s="4" t="n"/>
      <c r="E824" s="4" t="n"/>
      <c r="F824" s="5" t="n"/>
      <c r="G824" s="6" t="n"/>
      <c r="H824" s="4" t="n"/>
      <c r="I824" s="7" t="n"/>
      <c r="J824" s="4" t="n"/>
    </row>
    <row r="825" ht="22" customHeight="1">
      <c r="A825" s="3">
        <f>IF(C825="","",ROW()-2)</f>
        <v/>
      </c>
      <c r="B825" s="3" t="n"/>
      <c r="C825" s="3" t="n"/>
      <c r="D825" s="4" t="n"/>
      <c r="E825" s="4" t="n"/>
      <c r="F825" s="5" t="n"/>
      <c r="G825" s="6" t="n"/>
      <c r="H825" s="4" t="n"/>
      <c r="I825" s="7" t="n"/>
      <c r="J825" s="4" t="n"/>
    </row>
    <row r="826" ht="22" customHeight="1">
      <c r="A826" s="3">
        <f>IF(C826="","",ROW()-2)</f>
        <v/>
      </c>
      <c r="B826" s="3" t="n"/>
      <c r="C826" s="3" t="n"/>
      <c r="D826" s="4" t="n"/>
      <c r="E826" s="4" t="n"/>
      <c r="F826" s="5" t="n"/>
      <c r="G826" s="6" t="n"/>
      <c r="H826" s="4" t="n"/>
      <c r="I826" s="7" t="n"/>
      <c r="J826" s="4" t="n"/>
    </row>
    <row r="827" ht="22" customHeight="1">
      <c r="A827" s="3">
        <f>IF(C827="","",ROW()-2)</f>
        <v/>
      </c>
      <c r="B827" s="3" t="n"/>
      <c r="C827" s="3" t="n"/>
      <c r="D827" s="4" t="n"/>
      <c r="E827" s="4" t="n"/>
      <c r="F827" s="5" t="n"/>
      <c r="G827" s="6" t="n"/>
      <c r="H827" s="4" t="n"/>
      <c r="I827" s="7" t="n"/>
      <c r="J827" s="4" t="n"/>
    </row>
    <row r="828" ht="22" customHeight="1">
      <c r="A828" s="3">
        <f>IF(C828="","",ROW()-2)</f>
        <v/>
      </c>
      <c r="B828" s="3" t="n"/>
      <c r="C828" s="3" t="n"/>
      <c r="D828" s="4" t="n"/>
      <c r="E828" s="4" t="n"/>
      <c r="F828" s="5" t="n"/>
      <c r="G828" s="6" t="n"/>
      <c r="H828" s="4" t="n"/>
      <c r="I828" s="7" t="n"/>
      <c r="J828" s="4" t="n"/>
    </row>
    <row r="829" ht="22" customHeight="1">
      <c r="A829" s="3">
        <f>IF(C829="","",ROW()-2)</f>
        <v/>
      </c>
      <c r="B829" s="3" t="n"/>
      <c r="C829" s="3" t="n"/>
      <c r="D829" s="4" t="n"/>
      <c r="E829" s="4" t="n"/>
      <c r="F829" s="5" t="n"/>
      <c r="G829" s="6" t="n"/>
      <c r="H829" s="4" t="n"/>
      <c r="I829" s="7" t="n"/>
      <c r="J829" s="4" t="n"/>
    </row>
    <row r="830" ht="22" customHeight="1">
      <c r="A830" s="3">
        <f>IF(C830="","",ROW()-2)</f>
        <v/>
      </c>
      <c r="B830" s="3" t="n"/>
      <c r="C830" s="3" t="n"/>
      <c r="D830" s="4" t="n"/>
      <c r="E830" s="4" t="n"/>
      <c r="F830" s="5" t="n"/>
      <c r="G830" s="6" t="n"/>
      <c r="H830" s="4" t="n"/>
      <c r="I830" s="7" t="n"/>
      <c r="J830" s="4" t="n"/>
    </row>
    <row r="831" ht="22" customHeight="1">
      <c r="A831" s="3">
        <f>IF(C831="","",ROW()-2)</f>
        <v/>
      </c>
      <c r="B831" s="3" t="n"/>
      <c r="C831" s="3" t="n"/>
      <c r="D831" s="4" t="n"/>
      <c r="E831" s="4" t="n"/>
      <c r="F831" s="5" t="n"/>
      <c r="G831" s="6" t="n"/>
      <c r="H831" s="4" t="n"/>
      <c r="I831" s="7" t="n"/>
      <c r="J831" s="4" t="n"/>
    </row>
    <row r="832" ht="22" customHeight="1">
      <c r="A832" s="3">
        <f>IF(C832="","",ROW()-2)</f>
        <v/>
      </c>
      <c r="B832" s="3" t="n"/>
      <c r="C832" s="3" t="n"/>
      <c r="D832" s="4" t="n"/>
      <c r="E832" s="4" t="n"/>
      <c r="F832" s="5" t="n"/>
      <c r="G832" s="6" t="n"/>
      <c r="H832" s="4" t="n"/>
      <c r="I832" s="7" t="n"/>
      <c r="J832" s="4" t="n"/>
    </row>
    <row r="833" ht="22" customHeight="1">
      <c r="A833" s="3">
        <f>IF(C833="","",ROW()-2)</f>
        <v/>
      </c>
      <c r="B833" s="3" t="n"/>
      <c r="C833" s="3" t="n"/>
      <c r="D833" s="4" t="n"/>
      <c r="E833" s="4" t="n"/>
      <c r="F833" s="5" t="n"/>
      <c r="G833" s="6" t="n"/>
      <c r="H833" s="4" t="n"/>
      <c r="I833" s="7" t="n"/>
      <c r="J833" s="4" t="n"/>
    </row>
    <row r="834" ht="22" customHeight="1">
      <c r="A834" s="3">
        <f>IF(C834="","",ROW()-2)</f>
        <v/>
      </c>
      <c r="B834" s="3" t="n"/>
      <c r="C834" s="3" t="n"/>
      <c r="D834" s="4" t="n"/>
      <c r="E834" s="4" t="n"/>
      <c r="F834" s="5" t="n"/>
      <c r="G834" s="6" t="n"/>
      <c r="H834" s="4" t="n"/>
      <c r="I834" s="7" t="n"/>
      <c r="J834" s="4" t="n"/>
    </row>
    <row r="835" ht="22" customHeight="1">
      <c r="A835" s="3">
        <f>IF(C835="","",ROW()-2)</f>
        <v/>
      </c>
      <c r="B835" s="3" t="n"/>
      <c r="C835" s="3" t="n"/>
      <c r="D835" s="4" t="n"/>
      <c r="E835" s="4" t="n"/>
      <c r="F835" s="5" t="n"/>
      <c r="G835" s="6" t="n"/>
      <c r="H835" s="4" t="n"/>
      <c r="I835" s="7" t="n"/>
      <c r="J835" s="4" t="n"/>
    </row>
    <row r="836" ht="22" customHeight="1">
      <c r="A836" s="3">
        <f>IF(C836="","",ROW()-2)</f>
        <v/>
      </c>
      <c r="B836" s="3" t="n"/>
      <c r="C836" s="3" t="n"/>
      <c r="D836" s="4" t="n"/>
      <c r="E836" s="4" t="n"/>
      <c r="F836" s="5" t="n"/>
      <c r="G836" s="6" t="n"/>
      <c r="H836" s="4" t="n"/>
      <c r="I836" s="7" t="n"/>
      <c r="J836" s="4" t="n"/>
    </row>
    <row r="837" ht="22" customHeight="1">
      <c r="A837" s="3">
        <f>IF(C837="","",ROW()-2)</f>
        <v/>
      </c>
      <c r="B837" s="3" t="n"/>
      <c r="C837" s="3" t="n"/>
      <c r="D837" s="4" t="n"/>
      <c r="E837" s="4" t="n"/>
      <c r="F837" s="5" t="n"/>
      <c r="G837" s="6" t="n"/>
      <c r="H837" s="4" t="n"/>
      <c r="I837" s="7" t="n"/>
      <c r="J837" s="4" t="n"/>
    </row>
    <row r="838" ht="22" customHeight="1">
      <c r="A838" s="3">
        <f>IF(C838="","",ROW()-2)</f>
        <v/>
      </c>
      <c r="B838" s="3" t="n"/>
      <c r="C838" s="3" t="n"/>
      <c r="D838" s="4" t="n"/>
      <c r="E838" s="4" t="n"/>
      <c r="F838" s="5" t="n"/>
      <c r="G838" s="6" t="n"/>
      <c r="H838" s="4" t="n"/>
      <c r="I838" s="7" t="n"/>
      <c r="J838" s="4" t="n"/>
    </row>
    <row r="839" ht="22" customHeight="1">
      <c r="A839" s="3">
        <f>IF(C839="","",ROW()-2)</f>
        <v/>
      </c>
      <c r="B839" s="3" t="n"/>
      <c r="C839" s="3" t="n"/>
      <c r="D839" s="4" t="n"/>
      <c r="E839" s="4" t="n"/>
      <c r="F839" s="5" t="n"/>
      <c r="G839" s="6" t="n"/>
      <c r="H839" s="4" t="n"/>
      <c r="I839" s="7" t="n"/>
      <c r="J839" s="4" t="n"/>
    </row>
    <row r="840" ht="22" customHeight="1">
      <c r="A840" s="3">
        <f>IF(C840="","",ROW()-2)</f>
        <v/>
      </c>
      <c r="B840" s="3" t="n"/>
      <c r="C840" s="3" t="n"/>
      <c r="D840" s="4" t="n"/>
      <c r="E840" s="4" t="n"/>
      <c r="F840" s="5" t="n"/>
      <c r="G840" s="6" t="n"/>
      <c r="H840" s="4" t="n"/>
      <c r="I840" s="7" t="n"/>
      <c r="J840" s="4" t="n"/>
    </row>
    <row r="841" ht="22" customHeight="1">
      <c r="A841" s="3">
        <f>IF(C841="","",ROW()-2)</f>
        <v/>
      </c>
      <c r="B841" s="3" t="n"/>
      <c r="C841" s="3" t="n"/>
      <c r="D841" s="4" t="n"/>
      <c r="E841" s="4" t="n"/>
      <c r="F841" s="5" t="n"/>
      <c r="G841" s="6" t="n"/>
      <c r="H841" s="4" t="n"/>
      <c r="I841" s="7" t="n"/>
      <c r="J841" s="4" t="n"/>
    </row>
    <row r="842" ht="22" customHeight="1">
      <c r="A842" s="3">
        <f>IF(C842="","",ROW()-2)</f>
        <v/>
      </c>
      <c r="B842" s="3" t="n"/>
      <c r="C842" s="3" t="n"/>
      <c r="D842" s="4" t="n"/>
      <c r="E842" s="4" t="n"/>
      <c r="F842" s="5" t="n"/>
      <c r="G842" s="6" t="n"/>
      <c r="H842" s="4" t="n"/>
      <c r="I842" s="7" t="n"/>
      <c r="J842" s="4" t="n"/>
    </row>
    <row r="843" ht="22" customHeight="1">
      <c r="A843" s="3">
        <f>IF(C843="","",ROW()-2)</f>
        <v/>
      </c>
      <c r="B843" s="3" t="n"/>
      <c r="C843" s="3" t="n"/>
      <c r="D843" s="4" t="n"/>
      <c r="E843" s="4" t="n"/>
      <c r="F843" s="5" t="n"/>
      <c r="G843" s="6" t="n"/>
      <c r="H843" s="4" t="n"/>
      <c r="I843" s="7" t="n"/>
      <c r="J843" s="4" t="n"/>
    </row>
    <row r="844" ht="22" customHeight="1">
      <c r="A844" s="3">
        <f>IF(C844="","",ROW()-2)</f>
        <v/>
      </c>
      <c r="B844" s="3" t="n"/>
      <c r="C844" s="3" t="n"/>
      <c r="D844" s="4" t="n"/>
      <c r="E844" s="4" t="n"/>
      <c r="F844" s="5" t="n"/>
      <c r="G844" s="6" t="n"/>
      <c r="H844" s="4" t="n"/>
      <c r="I844" s="7" t="n"/>
      <c r="J844" s="4" t="n"/>
    </row>
    <row r="845" ht="22" customHeight="1">
      <c r="A845" s="3">
        <f>IF(C845="","",ROW()-2)</f>
        <v/>
      </c>
      <c r="B845" s="3" t="n"/>
      <c r="C845" s="3" t="n"/>
      <c r="D845" s="4" t="n"/>
      <c r="E845" s="4" t="n"/>
      <c r="F845" s="5" t="n"/>
      <c r="G845" s="6" t="n"/>
      <c r="H845" s="4" t="n"/>
      <c r="I845" s="7" t="n"/>
      <c r="J845" s="4" t="n"/>
    </row>
    <row r="846" ht="22" customHeight="1">
      <c r="A846" s="3">
        <f>IF(C846="","",ROW()-2)</f>
        <v/>
      </c>
      <c r="B846" s="3" t="n"/>
      <c r="C846" s="3" t="n"/>
      <c r="D846" s="4" t="n"/>
      <c r="E846" s="4" t="n"/>
      <c r="F846" s="5" t="n"/>
      <c r="G846" s="6" t="n"/>
      <c r="H846" s="4" t="n"/>
      <c r="I846" s="7" t="n"/>
      <c r="J846" s="4" t="n"/>
    </row>
    <row r="847" ht="22" customHeight="1">
      <c r="A847" s="3">
        <f>IF(C847="","",ROW()-2)</f>
        <v/>
      </c>
      <c r="B847" s="3" t="n"/>
      <c r="C847" s="3" t="n"/>
      <c r="D847" s="4" t="n"/>
      <c r="E847" s="4" t="n"/>
      <c r="F847" s="5" t="n"/>
      <c r="G847" s="6" t="n"/>
      <c r="H847" s="4" t="n"/>
      <c r="I847" s="7" t="n"/>
      <c r="J847" s="4" t="n"/>
    </row>
    <row r="848" ht="22" customHeight="1">
      <c r="A848" s="3">
        <f>IF(C848="","",ROW()-2)</f>
        <v/>
      </c>
      <c r="B848" s="3" t="n"/>
      <c r="C848" s="3" t="n"/>
      <c r="D848" s="4" t="n"/>
      <c r="E848" s="4" t="n"/>
      <c r="F848" s="5" t="n"/>
      <c r="G848" s="6" t="n"/>
      <c r="H848" s="4" t="n"/>
      <c r="I848" s="7" t="n"/>
      <c r="J848" s="4" t="n"/>
    </row>
    <row r="849" ht="22" customHeight="1">
      <c r="A849" s="3">
        <f>IF(C849="","",ROW()-2)</f>
        <v/>
      </c>
      <c r="B849" s="3" t="n"/>
      <c r="C849" s="3" t="n"/>
      <c r="D849" s="4" t="n"/>
      <c r="E849" s="4" t="n"/>
      <c r="F849" s="5" t="n"/>
      <c r="G849" s="6" t="n"/>
      <c r="H849" s="4" t="n"/>
      <c r="I849" s="7" t="n"/>
      <c r="J849" s="4" t="n"/>
    </row>
    <row r="850" ht="22" customHeight="1">
      <c r="A850" s="3">
        <f>IF(C850="","",ROW()-2)</f>
        <v/>
      </c>
      <c r="B850" s="3" t="n"/>
      <c r="C850" s="3" t="n"/>
      <c r="D850" s="4" t="n"/>
      <c r="E850" s="4" t="n"/>
      <c r="F850" s="5" t="n"/>
      <c r="G850" s="6" t="n"/>
      <c r="H850" s="4" t="n"/>
      <c r="I850" s="7" t="n"/>
      <c r="J850" s="4" t="n"/>
    </row>
    <row r="851" ht="22" customHeight="1">
      <c r="A851" s="3">
        <f>IF(C851="","",ROW()-2)</f>
        <v/>
      </c>
      <c r="B851" s="3" t="n"/>
      <c r="C851" s="3" t="n"/>
      <c r="D851" s="4" t="n"/>
      <c r="E851" s="4" t="n"/>
      <c r="F851" s="5" t="n"/>
      <c r="G851" s="6" t="n"/>
      <c r="H851" s="4" t="n"/>
      <c r="I851" s="7" t="n"/>
      <c r="J851" s="4" t="n"/>
    </row>
    <row r="852" ht="22" customHeight="1">
      <c r="A852" s="3">
        <f>IF(C852="","",ROW()-2)</f>
        <v/>
      </c>
      <c r="B852" s="3" t="n"/>
      <c r="C852" s="3" t="n"/>
      <c r="D852" s="4" t="n"/>
      <c r="E852" s="4" t="n"/>
      <c r="F852" s="5" t="n"/>
      <c r="G852" s="6" t="n"/>
      <c r="H852" s="4" t="n"/>
      <c r="I852" s="7" t="n"/>
      <c r="J852" s="4" t="n"/>
    </row>
    <row r="853" ht="22" customHeight="1">
      <c r="A853" s="3">
        <f>IF(C853="","",ROW()-2)</f>
        <v/>
      </c>
      <c r="B853" s="3" t="n"/>
      <c r="C853" s="3" t="n"/>
      <c r="D853" s="4" t="n"/>
      <c r="E853" s="4" t="n"/>
      <c r="F853" s="5" t="n"/>
      <c r="G853" s="6" t="n"/>
      <c r="H853" s="4" t="n"/>
      <c r="I853" s="7" t="n"/>
      <c r="J853" s="4" t="n"/>
    </row>
    <row r="854" ht="22" customHeight="1">
      <c r="A854" s="3">
        <f>IF(C854="","",ROW()-2)</f>
        <v/>
      </c>
      <c r="B854" s="3" t="n"/>
      <c r="C854" s="3" t="n"/>
      <c r="D854" s="4" t="n"/>
      <c r="E854" s="4" t="n"/>
      <c r="F854" s="5" t="n"/>
      <c r="G854" s="6" t="n"/>
      <c r="H854" s="4" t="n"/>
      <c r="I854" s="7" t="n"/>
      <c r="J854" s="4" t="n"/>
    </row>
    <row r="855" ht="22" customHeight="1">
      <c r="A855" s="3">
        <f>IF(C855="","",ROW()-2)</f>
        <v/>
      </c>
      <c r="B855" s="3" t="n"/>
      <c r="C855" s="3" t="n"/>
      <c r="D855" s="4" t="n"/>
      <c r="E855" s="4" t="n"/>
      <c r="F855" s="5" t="n"/>
      <c r="G855" s="6" t="n"/>
      <c r="H855" s="4" t="n"/>
      <c r="I855" s="7" t="n"/>
      <c r="J855" s="4" t="n"/>
    </row>
    <row r="856" ht="22" customHeight="1">
      <c r="A856" s="3">
        <f>IF(C856="","",ROW()-2)</f>
        <v/>
      </c>
      <c r="B856" s="3" t="n"/>
      <c r="C856" s="3" t="n"/>
      <c r="D856" s="4" t="n"/>
      <c r="E856" s="4" t="n"/>
      <c r="F856" s="5" t="n"/>
      <c r="G856" s="6" t="n"/>
      <c r="H856" s="4" t="n"/>
      <c r="I856" s="7" t="n"/>
      <c r="J856" s="4" t="n"/>
    </row>
    <row r="857" ht="22" customHeight="1">
      <c r="A857" s="3">
        <f>IF(C857="","",ROW()-2)</f>
        <v/>
      </c>
      <c r="B857" s="3" t="n"/>
      <c r="C857" s="3" t="n"/>
      <c r="D857" s="4" t="n"/>
      <c r="E857" s="4" t="n"/>
      <c r="F857" s="5" t="n"/>
      <c r="G857" s="6" t="n"/>
      <c r="H857" s="4" t="n"/>
      <c r="I857" s="7" t="n"/>
      <c r="J857" s="4" t="n"/>
    </row>
    <row r="858" ht="22" customHeight="1">
      <c r="A858" s="3">
        <f>IF(C858="","",ROW()-2)</f>
        <v/>
      </c>
      <c r="B858" s="3" t="n"/>
      <c r="C858" s="3" t="n"/>
      <c r="D858" s="4" t="n"/>
      <c r="E858" s="4" t="n"/>
      <c r="F858" s="5" t="n"/>
      <c r="G858" s="6" t="n"/>
      <c r="H858" s="4" t="n"/>
      <c r="I858" s="7" t="n"/>
      <c r="J858" s="4" t="n"/>
    </row>
    <row r="859" ht="22" customHeight="1">
      <c r="A859" s="3">
        <f>IF(C859="","",ROW()-2)</f>
        <v/>
      </c>
      <c r="B859" s="3" t="n"/>
      <c r="C859" s="3" t="n"/>
      <c r="D859" s="4" t="n"/>
      <c r="E859" s="4" t="n"/>
      <c r="F859" s="5" t="n"/>
      <c r="G859" s="6" t="n"/>
      <c r="H859" s="4" t="n"/>
      <c r="I859" s="7" t="n"/>
      <c r="J859" s="4" t="n"/>
    </row>
    <row r="860" ht="22" customHeight="1">
      <c r="A860" s="3">
        <f>IF(C860="","",ROW()-2)</f>
        <v/>
      </c>
      <c r="B860" s="3" t="n"/>
      <c r="C860" s="3" t="n"/>
      <c r="D860" s="4" t="n"/>
      <c r="E860" s="4" t="n"/>
      <c r="F860" s="5" t="n"/>
      <c r="G860" s="6" t="n"/>
      <c r="H860" s="4" t="n"/>
      <c r="I860" s="7" t="n"/>
      <c r="J860" s="4" t="n"/>
    </row>
    <row r="861" ht="22" customHeight="1">
      <c r="A861" s="3">
        <f>IF(C861="","",ROW()-2)</f>
        <v/>
      </c>
      <c r="B861" s="3" t="n"/>
      <c r="C861" s="3" t="n"/>
      <c r="D861" s="4" t="n"/>
      <c r="E861" s="4" t="n"/>
      <c r="F861" s="5" t="n"/>
      <c r="G861" s="6" t="n"/>
      <c r="H861" s="4" t="n"/>
      <c r="I861" s="7" t="n"/>
      <c r="J861" s="4" t="n"/>
    </row>
    <row r="862" ht="22" customHeight="1">
      <c r="A862" s="3">
        <f>IF(C862="","",ROW()-2)</f>
        <v/>
      </c>
      <c r="B862" s="3" t="n"/>
      <c r="C862" s="3" t="n"/>
      <c r="D862" s="4" t="n"/>
      <c r="E862" s="4" t="n"/>
      <c r="F862" s="5" t="n"/>
      <c r="G862" s="6" t="n"/>
      <c r="H862" s="4" t="n"/>
      <c r="I862" s="7" t="n"/>
      <c r="J862" s="4" t="n"/>
    </row>
    <row r="863" ht="22" customHeight="1">
      <c r="A863" s="3">
        <f>IF(C863="","",ROW()-2)</f>
        <v/>
      </c>
      <c r="B863" s="3" t="n"/>
      <c r="C863" s="3" t="n"/>
      <c r="D863" s="4" t="n"/>
      <c r="E863" s="4" t="n"/>
      <c r="F863" s="5" t="n"/>
      <c r="G863" s="6" t="n"/>
      <c r="H863" s="4" t="n"/>
      <c r="I863" s="7" t="n"/>
      <c r="J863" s="4" t="n"/>
    </row>
    <row r="864" ht="22" customHeight="1">
      <c r="A864" s="3">
        <f>IF(C864="","",ROW()-2)</f>
        <v/>
      </c>
      <c r="B864" s="3" t="n"/>
      <c r="C864" s="3" t="n"/>
      <c r="D864" s="4" t="n"/>
      <c r="E864" s="4" t="n"/>
      <c r="F864" s="5" t="n"/>
      <c r="G864" s="6" t="n"/>
      <c r="H864" s="4" t="n"/>
      <c r="I864" s="7" t="n"/>
      <c r="J864" s="4" t="n"/>
    </row>
    <row r="865" ht="22" customHeight="1">
      <c r="A865" s="3">
        <f>IF(C865="","",ROW()-2)</f>
        <v/>
      </c>
      <c r="B865" s="3" t="n"/>
      <c r="C865" s="3" t="n"/>
      <c r="D865" s="4" t="n"/>
      <c r="E865" s="4" t="n"/>
      <c r="F865" s="5" t="n"/>
      <c r="G865" s="6" t="n"/>
      <c r="H865" s="4" t="n"/>
      <c r="I865" s="7" t="n"/>
      <c r="J865" s="4" t="n"/>
    </row>
    <row r="866" ht="22" customHeight="1">
      <c r="A866" s="3">
        <f>IF(C866="","",ROW()-2)</f>
        <v/>
      </c>
      <c r="B866" s="3" t="n"/>
      <c r="C866" s="3" t="n"/>
      <c r="D866" s="4" t="n"/>
      <c r="E866" s="4" t="n"/>
      <c r="F866" s="5" t="n"/>
      <c r="G866" s="6" t="n"/>
      <c r="H866" s="4" t="n"/>
      <c r="I866" s="7" t="n"/>
      <c r="J866" s="4" t="n"/>
    </row>
    <row r="867" ht="22" customHeight="1">
      <c r="A867" s="3">
        <f>IF(C867="","",ROW()-2)</f>
        <v/>
      </c>
      <c r="B867" s="3" t="n"/>
      <c r="C867" s="3" t="n"/>
      <c r="D867" s="4" t="n"/>
      <c r="E867" s="4" t="n"/>
      <c r="F867" s="5" t="n"/>
      <c r="G867" s="6" t="n"/>
      <c r="H867" s="4" t="n"/>
      <c r="I867" s="7" t="n"/>
      <c r="J867" s="4" t="n"/>
    </row>
    <row r="868" ht="22" customHeight="1">
      <c r="A868" s="3">
        <f>IF(C868="","",ROW()-2)</f>
        <v/>
      </c>
      <c r="B868" s="3" t="n"/>
      <c r="C868" s="3" t="n"/>
      <c r="D868" s="4" t="n"/>
      <c r="E868" s="4" t="n"/>
      <c r="F868" s="5" t="n"/>
      <c r="G868" s="6" t="n"/>
      <c r="H868" s="4" t="n"/>
      <c r="I868" s="7" t="n"/>
      <c r="J868" s="4" t="n"/>
    </row>
    <row r="869" ht="22" customHeight="1">
      <c r="A869" s="3">
        <f>IF(C869="","",ROW()-2)</f>
        <v/>
      </c>
      <c r="B869" s="3" t="n"/>
      <c r="C869" s="3" t="n"/>
      <c r="D869" s="4" t="n"/>
      <c r="E869" s="4" t="n"/>
      <c r="F869" s="5" t="n"/>
      <c r="G869" s="6" t="n"/>
      <c r="H869" s="4" t="n"/>
      <c r="I869" s="7" t="n"/>
      <c r="J869" s="4" t="n"/>
    </row>
    <row r="870" ht="22" customHeight="1">
      <c r="A870" s="3">
        <f>IF(C870="","",ROW()-2)</f>
        <v/>
      </c>
      <c r="B870" s="3" t="n"/>
      <c r="C870" s="3" t="n"/>
      <c r="D870" s="4" t="n"/>
      <c r="E870" s="4" t="n"/>
      <c r="F870" s="5" t="n"/>
      <c r="G870" s="6" t="n"/>
      <c r="H870" s="4" t="n"/>
      <c r="I870" s="7" t="n"/>
      <c r="J870" s="4" t="n"/>
    </row>
    <row r="871" ht="22" customHeight="1">
      <c r="A871" s="3">
        <f>IF(C871="","",ROW()-2)</f>
        <v/>
      </c>
      <c r="B871" s="3" t="n"/>
      <c r="C871" s="3" t="n"/>
      <c r="D871" s="4" t="n"/>
      <c r="E871" s="4" t="n"/>
      <c r="F871" s="5" t="n"/>
      <c r="G871" s="6" t="n"/>
      <c r="H871" s="4" t="n"/>
      <c r="I871" s="7" t="n"/>
      <c r="J871" s="4" t="n"/>
    </row>
    <row r="872" ht="22" customHeight="1">
      <c r="A872" s="3">
        <f>IF(C872="","",ROW()-2)</f>
        <v/>
      </c>
      <c r="B872" s="3" t="n"/>
      <c r="C872" s="3" t="n"/>
      <c r="D872" s="4" t="n"/>
      <c r="E872" s="4" t="n"/>
      <c r="F872" s="5" t="n"/>
      <c r="G872" s="6" t="n"/>
      <c r="H872" s="4" t="n"/>
      <c r="I872" s="7" t="n"/>
      <c r="J872" s="4" t="n"/>
    </row>
    <row r="873" ht="22" customHeight="1">
      <c r="A873" s="3">
        <f>IF(C873="","",ROW()-2)</f>
        <v/>
      </c>
      <c r="B873" s="3" t="n"/>
      <c r="C873" s="3" t="n"/>
      <c r="D873" s="4" t="n"/>
      <c r="E873" s="4" t="n"/>
      <c r="F873" s="5" t="n"/>
      <c r="G873" s="6" t="n"/>
      <c r="H873" s="4" t="n"/>
      <c r="I873" s="7" t="n"/>
      <c r="J873" s="4" t="n"/>
    </row>
    <row r="874" ht="22" customHeight="1">
      <c r="A874" s="3">
        <f>IF(C874="","",ROW()-2)</f>
        <v/>
      </c>
      <c r="B874" s="3" t="n"/>
      <c r="C874" s="3" t="n"/>
      <c r="D874" s="4" t="n"/>
      <c r="E874" s="4" t="n"/>
      <c r="F874" s="5" t="n"/>
      <c r="G874" s="6" t="n"/>
      <c r="H874" s="4" t="n"/>
      <c r="I874" s="7" t="n"/>
      <c r="J874" s="4" t="n"/>
    </row>
    <row r="875" ht="22" customHeight="1">
      <c r="A875" s="3">
        <f>IF(C875="","",ROW()-2)</f>
        <v/>
      </c>
      <c r="B875" s="3" t="n"/>
      <c r="C875" s="3" t="n"/>
      <c r="D875" s="4" t="n"/>
      <c r="E875" s="4" t="n"/>
      <c r="F875" s="5" t="n"/>
      <c r="G875" s="6" t="n"/>
      <c r="H875" s="4" t="n"/>
      <c r="I875" s="7" t="n"/>
      <c r="J875" s="4" t="n"/>
    </row>
    <row r="876" ht="22" customHeight="1">
      <c r="A876" s="3">
        <f>IF(C876="","",ROW()-2)</f>
        <v/>
      </c>
      <c r="B876" s="3" t="n"/>
      <c r="C876" s="3" t="n"/>
      <c r="D876" s="4" t="n"/>
      <c r="E876" s="4" t="n"/>
      <c r="F876" s="5" t="n"/>
      <c r="G876" s="6" t="n"/>
      <c r="H876" s="4" t="n"/>
      <c r="I876" s="7" t="n"/>
      <c r="J876" s="4" t="n"/>
    </row>
    <row r="877" ht="22" customHeight="1">
      <c r="A877" s="3">
        <f>IF(C877="","",ROW()-2)</f>
        <v/>
      </c>
      <c r="B877" s="3" t="n"/>
      <c r="C877" s="3" t="n"/>
      <c r="D877" s="4" t="n"/>
      <c r="E877" s="4" t="n"/>
      <c r="F877" s="5" t="n"/>
      <c r="G877" s="6" t="n"/>
      <c r="H877" s="4" t="n"/>
      <c r="I877" s="7" t="n"/>
      <c r="J877" s="4" t="n"/>
    </row>
    <row r="878" ht="22" customHeight="1">
      <c r="A878" s="3">
        <f>IF(C878="","",ROW()-2)</f>
        <v/>
      </c>
      <c r="B878" s="3" t="n"/>
      <c r="C878" s="3" t="n"/>
      <c r="D878" s="4" t="n"/>
      <c r="E878" s="4" t="n"/>
      <c r="F878" s="5" t="n"/>
      <c r="G878" s="6" t="n"/>
      <c r="H878" s="4" t="n"/>
      <c r="I878" s="7" t="n"/>
      <c r="J878" s="4" t="n"/>
    </row>
    <row r="879" ht="22" customHeight="1">
      <c r="A879" s="3">
        <f>IF(C879="","",ROW()-2)</f>
        <v/>
      </c>
      <c r="B879" s="3" t="n"/>
      <c r="C879" s="3" t="n"/>
      <c r="D879" s="4" t="n"/>
      <c r="E879" s="4" t="n"/>
      <c r="F879" s="5" t="n"/>
      <c r="G879" s="6" t="n"/>
      <c r="H879" s="4" t="n"/>
      <c r="I879" s="7" t="n"/>
      <c r="J879" s="4" t="n"/>
    </row>
    <row r="880" ht="22" customHeight="1">
      <c r="A880" s="3">
        <f>IF(C880="","",ROW()-2)</f>
        <v/>
      </c>
      <c r="B880" s="3" t="n"/>
      <c r="C880" s="3" t="n"/>
      <c r="D880" s="4" t="n"/>
      <c r="E880" s="4" t="n"/>
      <c r="F880" s="5" t="n"/>
      <c r="G880" s="6" t="n"/>
      <c r="H880" s="4" t="n"/>
      <c r="I880" s="7" t="n"/>
      <c r="J880" s="4" t="n"/>
    </row>
    <row r="881" ht="22" customHeight="1">
      <c r="A881" s="3">
        <f>IF(C881="","",ROW()-2)</f>
        <v/>
      </c>
      <c r="B881" s="3" t="n"/>
      <c r="C881" s="3" t="n"/>
      <c r="D881" s="4" t="n"/>
      <c r="E881" s="4" t="n"/>
      <c r="F881" s="5" t="n"/>
      <c r="G881" s="6" t="n"/>
      <c r="H881" s="4" t="n"/>
      <c r="I881" s="7" t="n"/>
      <c r="J881" s="4" t="n"/>
    </row>
    <row r="882" ht="22" customHeight="1">
      <c r="A882" s="3">
        <f>IF(C882="","",ROW()-2)</f>
        <v/>
      </c>
      <c r="B882" s="3" t="n"/>
      <c r="C882" s="3" t="n"/>
      <c r="D882" s="4" t="n"/>
      <c r="E882" s="4" t="n"/>
      <c r="F882" s="5" t="n"/>
      <c r="G882" s="6" t="n"/>
      <c r="H882" s="4" t="n"/>
      <c r="I882" s="7" t="n"/>
      <c r="J882" s="4" t="n"/>
    </row>
    <row r="883" ht="22" customHeight="1">
      <c r="A883" s="3">
        <f>IF(C883="","",ROW()-2)</f>
        <v/>
      </c>
      <c r="B883" s="3" t="n"/>
      <c r="C883" s="3" t="n"/>
      <c r="D883" s="4" t="n"/>
      <c r="E883" s="4" t="n"/>
      <c r="F883" s="5" t="n"/>
      <c r="G883" s="6" t="n"/>
      <c r="H883" s="4" t="n"/>
      <c r="I883" s="7" t="n"/>
      <c r="J883" s="4" t="n"/>
    </row>
    <row r="884" ht="22" customHeight="1">
      <c r="A884" s="3">
        <f>IF(C884="","",ROW()-2)</f>
        <v/>
      </c>
      <c r="B884" s="3" t="n"/>
      <c r="C884" s="3" t="n"/>
      <c r="D884" s="4" t="n"/>
      <c r="E884" s="4" t="n"/>
      <c r="F884" s="5" t="n"/>
      <c r="G884" s="6" t="n"/>
      <c r="H884" s="4" t="n"/>
      <c r="I884" s="7" t="n"/>
      <c r="J884" s="4" t="n"/>
    </row>
    <row r="885" ht="22" customHeight="1">
      <c r="A885" s="3">
        <f>IF(C885="","",ROW()-2)</f>
        <v/>
      </c>
      <c r="B885" s="3" t="n"/>
      <c r="C885" s="3" t="n"/>
      <c r="D885" s="4" t="n"/>
      <c r="E885" s="4" t="n"/>
      <c r="F885" s="5" t="n"/>
      <c r="G885" s="6" t="n"/>
      <c r="H885" s="4" t="n"/>
      <c r="I885" s="7" t="n"/>
      <c r="J885" s="4" t="n"/>
    </row>
    <row r="886" ht="22" customHeight="1">
      <c r="A886" s="3">
        <f>IF(C886="","",ROW()-2)</f>
        <v/>
      </c>
      <c r="B886" s="3" t="n"/>
      <c r="C886" s="3" t="n"/>
      <c r="D886" s="4" t="n"/>
      <c r="E886" s="4" t="n"/>
      <c r="F886" s="5" t="n"/>
      <c r="G886" s="6" t="n"/>
      <c r="H886" s="4" t="n"/>
      <c r="I886" s="7" t="n"/>
      <c r="J886" s="4" t="n"/>
    </row>
    <row r="887" ht="22" customHeight="1">
      <c r="A887" s="3">
        <f>IF(C887="","",ROW()-2)</f>
        <v/>
      </c>
      <c r="B887" s="3" t="n"/>
      <c r="C887" s="3" t="n"/>
      <c r="D887" s="4" t="n"/>
      <c r="E887" s="4" t="n"/>
      <c r="F887" s="5" t="n"/>
      <c r="G887" s="6" t="n"/>
      <c r="H887" s="4" t="n"/>
      <c r="I887" s="7" t="n"/>
      <c r="J887" s="4" t="n"/>
    </row>
    <row r="888" ht="22" customHeight="1">
      <c r="A888" s="3">
        <f>IF(C888="","",ROW()-2)</f>
        <v/>
      </c>
      <c r="B888" s="3" t="n"/>
      <c r="C888" s="3" t="n"/>
      <c r="D888" s="4" t="n"/>
      <c r="E888" s="4" t="n"/>
      <c r="F888" s="5" t="n"/>
      <c r="G888" s="6" t="n"/>
      <c r="H888" s="4" t="n"/>
      <c r="I888" s="7" t="n"/>
      <c r="J888" s="4" t="n"/>
    </row>
    <row r="889" ht="22" customHeight="1">
      <c r="A889" s="3">
        <f>IF(C889="","",ROW()-2)</f>
        <v/>
      </c>
      <c r="B889" s="3" t="n"/>
      <c r="C889" s="3" t="n"/>
      <c r="D889" s="4" t="n"/>
      <c r="E889" s="4" t="n"/>
      <c r="F889" s="5" t="n"/>
      <c r="G889" s="6" t="n"/>
      <c r="H889" s="4" t="n"/>
      <c r="I889" s="7" t="n"/>
      <c r="J889" s="4" t="n"/>
    </row>
    <row r="890" ht="22" customHeight="1">
      <c r="A890" s="3">
        <f>IF(C890="","",ROW()-2)</f>
        <v/>
      </c>
      <c r="B890" s="3" t="n"/>
      <c r="C890" s="3" t="n"/>
      <c r="D890" s="4" t="n"/>
      <c r="E890" s="4" t="n"/>
      <c r="F890" s="5" t="n"/>
      <c r="G890" s="6" t="n"/>
      <c r="H890" s="4" t="n"/>
      <c r="I890" s="7" t="n"/>
      <c r="J890" s="4" t="n"/>
    </row>
    <row r="891" ht="22" customHeight="1">
      <c r="A891" s="3">
        <f>IF(C891="","",ROW()-2)</f>
        <v/>
      </c>
      <c r="B891" s="3" t="n"/>
      <c r="C891" s="3" t="n"/>
      <c r="D891" s="4" t="n"/>
      <c r="E891" s="4" t="n"/>
      <c r="F891" s="5" t="n"/>
      <c r="G891" s="6" t="n"/>
      <c r="H891" s="4" t="n"/>
      <c r="I891" s="7" t="n"/>
      <c r="J891" s="4" t="n"/>
    </row>
    <row r="892" ht="22" customHeight="1">
      <c r="A892" s="3">
        <f>IF(C892="","",ROW()-2)</f>
        <v/>
      </c>
      <c r="B892" s="3" t="n"/>
      <c r="C892" s="3" t="n"/>
      <c r="D892" s="4" t="n"/>
      <c r="E892" s="4" t="n"/>
      <c r="F892" s="5" t="n"/>
      <c r="G892" s="6" t="n"/>
      <c r="H892" s="4" t="n"/>
      <c r="I892" s="7" t="n"/>
      <c r="J892" s="4" t="n"/>
    </row>
    <row r="893" ht="22" customHeight="1">
      <c r="A893" s="3">
        <f>IF(C893="","",ROW()-2)</f>
        <v/>
      </c>
      <c r="B893" s="3" t="n"/>
      <c r="C893" s="3" t="n"/>
      <c r="D893" s="4" t="n"/>
      <c r="E893" s="4" t="n"/>
      <c r="F893" s="5" t="n"/>
      <c r="G893" s="6" t="n"/>
      <c r="H893" s="4" t="n"/>
      <c r="I893" s="7" t="n"/>
      <c r="J893" s="4" t="n"/>
    </row>
    <row r="894" ht="22" customHeight="1">
      <c r="A894" s="3">
        <f>IF(C894="","",ROW()-2)</f>
        <v/>
      </c>
      <c r="B894" s="3" t="n"/>
      <c r="C894" s="3" t="n"/>
      <c r="D894" s="4" t="n"/>
      <c r="E894" s="4" t="n"/>
      <c r="F894" s="5" t="n"/>
      <c r="G894" s="6" t="n"/>
      <c r="H894" s="4" t="n"/>
      <c r="I894" s="7" t="n"/>
      <c r="J894" s="4" t="n"/>
    </row>
    <row r="895" ht="22" customHeight="1">
      <c r="A895" s="3">
        <f>IF(C895="","",ROW()-2)</f>
        <v/>
      </c>
      <c r="B895" s="3" t="n"/>
      <c r="C895" s="3" t="n"/>
      <c r="D895" s="4" t="n"/>
      <c r="E895" s="4" t="n"/>
      <c r="F895" s="5" t="n"/>
      <c r="G895" s="6" t="n"/>
      <c r="H895" s="4" t="n"/>
      <c r="I895" s="7" t="n"/>
      <c r="J895" s="4" t="n"/>
    </row>
    <row r="896" ht="22" customHeight="1">
      <c r="A896" s="3">
        <f>IF(C896="","",ROW()-2)</f>
        <v/>
      </c>
      <c r="B896" s="3" t="n"/>
      <c r="C896" s="3" t="n"/>
      <c r="D896" s="4" t="n"/>
      <c r="E896" s="4" t="n"/>
      <c r="F896" s="5" t="n"/>
      <c r="G896" s="6" t="n"/>
      <c r="H896" s="4" t="n"/>
      <c r="I896" s="7" t="n"/>
      <c r="J896" s="4" t="n"/>
    </row>
    <row r="897" ht="22" customHeight="1">
      <c r="A897" s="3">
        <f>IF(C897="","",ROW()-2)</f>
        <v/>
      </c>
      <c r="B897" s="3" t="n"/>
      <c r="C897" s="3" t="n"/>
      <c r="D897" s="4" t="n"/>
      <c r="E897" s="4" t="n"/>
      <c r="F897" s="5" t="n"/>
      <c r="G897" s="6" t="n"/>
      <c r="H897" s="4" t="n"/>
      <c r="I897" s="7" t="n"/>
      <c r="J897" s="4" t="n"/>
    </row>
    <row r="898" ht="22" customHeight="1">
      <c r="A898" s="3">
        <f>IF(C898="","",ROW()-2)</f>
        <v/>
      </c>
      <c r="B898" s="3" t="n"/>
      <c r="C898" s="3" t="n"/>
      <c r="D898" s="4" t="n"/>
      <c r="E898" s="4" t="n"/>
      <c r="F898" s="5" t="n"/>
      <c r="G898" s="6" t="n"/>
      <c r="H898" s="4" t="n"/>
      <c r="I898" s="7" t="n"/>
      <c r="J898" s="4" t="n"/>
    </row>
    <row r="899" ht="22" customHeight="1">
      <c r="A899" s="3">
        <f>IF(C899="","",ROW()-2)</f>
        <v/>
      </c>
      <c r="B899" s="3" t="n"/>
      <c r="C899" s="3" t="n"/>
      <c r="D899" s="4" t="n"/>
      <c r="E899" s="4" t="n"/>
      <c r="F899" s="5" t="n"/>
      <c r="G899" s="6" t="n"/>
      <c r="H899" s="4" t="n"/>
      <c r="I899" s="7" t="n"/>
      <c r="J899" s="4" t="n"/>
    </row>
    <row r="900" ht="22" customHeight="1">
      <c r="A900" s="3">
        <f>IF(C900="","",ROW()-2)</f>
        <v/>
      </c>
      <c r="B900" s="3" t="n"/>
      <c r="C900" s="3" t="n"/>
      <c r="D900" s="4" t="n"/>
      <c r="E900" s="4" t="n"/>
      <c r="F900" s="5" t="n"/>
      <c r="G900" s="6" t="n"/>
      <c r="H900" s="4" t="n"/>
      <c r="I900" s="7" t="n"/>
      <c r="J900" s="4" t="n"/>
    </row>
    <row r="901" ht="22" customHeight="1">
      <c r="A901" s="3">
        <f>IF(C901="","",ROW()-2)</f>
        <v/>
      </c>
      <c r="B901" s="3" t="n"/>
      <c r="C901" s="3" t="n"/>
      <c r="D901" s="4" t="n"/>
      <c r="E901" s="4" t="n"/>
      <c r="F901" s="5" t="n"/>
      <c r="G901" s="6" t="n"/>
      <c r="H901" s="4" t="n"/>
      <c r="I901" s="7" t="n"/>
      <c r="J901" s="4" t="n"/>
    </row>
    <row r="902" ht="22" customHeight="1">
      <c r="A902" s="3">
        <f>IF(C902="","",ROW()-2)</f>
        <v/>
      </c>
      <c r="B902" s="3" t="n"/>
      <c r="C902" s="3" t="n"/>
      <c r="D902" s="4" t="n"/>
      <c r="E902" s="4" t="n"/>
      <c r="F902" s="5" t="n"/>
      <c r="G902" s="6" t="n"/>
      <c r="H902" s="4" t="n"/>
      <c r="I902" s="7" t="n"/>
      <c r="J902" s="4" t="n"/>
    </row>
    <row r="903" ht="22" customHeight="1">
      <c r="A903" s="3">
        <f>IF(C903="","",ROW()-2)</f>
        <v/>
      </c>
      <c r="B903" s="3" t="n"/>
      <c r="C903" s="3" t="n"/>
      <c r="D903" s="4" t="n"/>
      <c r="E903" s="4" t="n"/>
      <c r="F903" s="5" t="n"/>
      <c r="G903" s="6" t="n"/>
      <c r="H903" s="4" t="n"/>
      <c r="I903" s="7" t="n"/>
      <c r="J903" s="4" t="n"/>
    </row>
    <row r="904" ht="22" customHeight="1">
      <c r="A904" s="3">
        <f>IF(C904="","",ROW()-2)</f>
        <v/>
      </c>
      <c r="B904" s="3" t="n"/>
      <c r="C904" s="3" t="n"/>
      <c r="D904" s="4" t="n"/>
      <c r="E904" s="4" t="n"/>
      <c r="F904" s="5" t="n"/>
      <c r="G904" s="6" t="n"/>
      <c r="H904" s="4" t="n"/>
      <c r="I904" s="7" t="n"/>
      <c r="J904" s="4" t="n"/>
    </row>
    <row r="905" ht="22" customHeight="1">
      <c r="A905" s="3">
        <f>IF(C905="","",ROW()-2)</f>
        <v/>
      </c>
      <c r="B905" s="3" t="n"/>
      <c r="C905" s="3" t="n"/>
      <c r="D905" s="4" t="n"/>
      <c r="E905" s="4" t="n"/>
      <c r="F905" s="5" t="n"/>
      <c r="G905" s="6" t="n"/>
      <c r="H905" s="4" t="n"/>
      <c r="I905" s="7" t="n"/>
      <c r="J905" s="4" t="n"/>
    </row>
    <row r="906" ht="22" customHeight="1">
      <c r="A906" s="3">
        <f>IF(C906="","",ROW()-2)</f>
        <v/>
      </c>
      <c r="B906" s="3" t="n"/>
      <c r="C906" s="3" t="n"/>
      <c r="D906" s="4" t="n"/>
      <c r="E906" s="4" t="n"/>
      <c r="F906" s="5" t="n"/>
      <c r="G906" s="6" t="n"/>
      <c r="H906" s="4" t="n"/>
      <c r="I906" s="7" t="n"/>
      <c r="J906" s="4" t="n"/>
    </row>
    <row r="907" ht="22" customHeight="1">
      <c r="A907" s="3">
        <f>IF(C907="","",ROW()-2)</f>
        <v/>
      </c>
      <c r="B907" s="3" t="n"/>
      <c r="C907" s="3" t="n"/>
      <c r="D907" s="4" t="n"/>
      <c r="E907" s="4" t="n"/>
      <c r="F907" s="5" t="n"/>
      <c r="G907" s="6" t="n"/>
      <c r="H907" s="4" t="n"/>
      <c r="I907" s="7" t="n"/>
      <c r="J907" s="4" t="n"/>
    </row>
    <row r="908" ht="22" customHeight="1">
      <c r="A908" s="3">
        <f>IF(C908="","",ROW()-2)</f>
        <v/>
      </c>
      <c r="B908" s="3" t="n"/>
      <c r="C908" s="3" t="n"/>
      <c r="D908" s="4" t="n"/>
      <c r="E908" s="4" t="n"/>
      <c r="F908" s="5" t="n"/>
      <c r="G908" s="6" t="n"/>
      <c r="H908" s="4" t="n"/>
      <c r="I908" s="7" t="n"/>
      <c r="J908" s="4" t="n"/>
    </row>
    <row r="909" ht="22" customHeight="1">
      <c r="A909" s="3">
        <f>IF(C909="","",ROW()-2)</f>
        <v/>
      </c>
      <c r="B909" s="3" t="n"/>
      <c r="C909" s="3" t="n"/>
      <c r="D909" s="4" t="n"/>
      <c r="E909" s="4" t="n"/>
      <c r="F909" s="5" t="n"/>
      <c r="G909" s="6" t="n"/>
      <c r="H909" s="4" t="n"/>
      <c r="I909" s="7" t="n"/>
      <c r="J909" s="4" t="n"/>
    </row>
    <row r="910" ht="22" customHeight="1">
      <c r="A910" s="3">
        <f>IF(C910="","",ROW()-2)</f>
        <v/>
      </c>
      <c r="B910" s="3" t="n"/>
      <c r="C910" s="3" t="n"/>
      <c r="D910" s="4" t="n"/>
      <c r="E910" s="4" t="n"/>
      <c r="F910" s="5" t="n"/>
      <c r="G910" s="6" t="n"/>
      <c r="H910" s="4" t="n"/>
      <c r="I910" s="7" t="n"/>
      <c r="J910" s="4" t="n"/>
    </row>
    <row r="911" ht="22" customHeight="1">
      <c r="A911" s="3">
        <f>IF(C911="","",ROW()-2)</f>
        <v/>
      </c>
      <c r="B911" s="3" t="n"/>
      <c r="C911" s="3" t="n"/>
      <c r="D911" s="4" t="n"/>
      <c r="E911" s="4" t="n"/>
      <c r="F911" s="5" t="n"/>
      <c r="G911" s="6" t="n"/>
      <c r="H911" s="4" t="n"/>
      <c r="I911" s="7" t="n"/>
      <c r="J911" s="4" t="n"/>
    </row>
    <row r="912" ht="22" customHeight="1">
      <c r="A912" s="3">
        <f>IF(C912="","",ROW()-2)</f>
        <v/>
      </c>
      <c r="B912" s="3" t="n"/>
      <c r="C912" s="3" t="n"/>
      <c r="D912" s="4" t="n"/>
      <c r="E912" s="4" t="n"/>
      <c r="F912" s="5" t="n"/>
      <c r="G912" s="6" t="n"/>
      <c r="H912" s="4" t="n"/>
      <c r="I912" s="7" t="n"/>
      <c r="J912" s="4" t="n"/>
    </row>
    <row r="913" ht="22" customHeight="1">
      <c r="A913" s="3">
        <f>IF(C913="","",ROW()-2)</f>
        <v/>
      </c>
      <c r="B913" s="3" t="n"/>
      <c r="C913" s="3" t="n"/>
      <c r="D913" s="4" t="n"/>
      <c r="E913" s="4" t="n"/>
      <c r="F913" s="5" t="n"/>
      <c r="G913" s="6" t="n"/>
      <c r="H913" s="4" t="n"/>
      <c r="I913" s="7" t="n"/>
      <c r="J913" s="4" t="n"/>
    </row>
    <row r="914" ht="22" customHeight="1">
      <c r="A914" s="3">
        <f>IF(C914="","",ROW()-2)</f>
        <v/>
      </c>
      <c r="B914" s="3" t="n"/>
      <c r="C914" s="3" t="n"/>
      <c r="D914" s="4" t="n"/>
      <c r="E914" s="4" t="n"/>
      <c r="F914" s="5" t="n"/>
      <c r="G914" s="6" t="n"/>
      <c r="H914" s="4" t="n"/>
      <c r="I914" s="7" t="n"/>
      <c r="J914" s="4" t="n"/>
    </row>
    <row r="915" ht="22" customHeight="1">
      <c r="A915" s="3">
        <f>IF(C915="","",ROW()-2)</f>
        <v/>
      </c>
      <c r="B915" s="3" t="n"/>
      <c r="C915" s="3" t="n"/>
      <c r="D915" s="4" t="n"/>
      <c r="E915" s="4" t="n"/>
      <c r="F915" s="5" t="n"/>
      <c r="G915" s="6" t="n"/>
      <c r="H915" s="4" t="n"/>
      <c r="I915" s="7" t="n"/>
      <c r="J915" s="4" t="n"/>
    </row>
    <row r="916" ht="22" customHeight="1">
      <c r="A916" s="3">
        <f>IF(C916="","",ROW()-2)</f>
        <v/>
      </c>
      <c r="B916" s="3" t="n"/>
      <c r="C916" s="3" t="n"/>
      <c r="D916" s="4" t="n"/>
      <c r="E916" s="4" t="n"/>
      <c r="F916" s="5" t="n"/>
      <c r="G916" s="6" t="n"/>
      <c r="H916" s="4" t="n"/>
      <c r="I916" s="7" t="n"/>
      <c r="J916" s="4" t="n"/>
    </row>
    <row r="917" ht="22" customHeight="1">
      <c r="A917" s="3">
        <f>IF(C917="","",ROW()-2)</f>
        <v/>
      </c>
      <c r="B917" s="3" t="n"/>
      <c r="C917" s="3" t="n"/>
      <c r="D917" s="4" t="n"/>
      <c r="E917" s="4" t="n"/>
      <c r="F917" s="5" t="n"/>
      <c r="G917" s="6" t="n"/>
      <c r="H917" s="4" t="n"/>
      <c r="I917" s="7" t="n"/>
      <c r="J917" s="4" t="n"/>
    </row>
    <row r="918" ht="22" customHeight="1">
      <c r="A918" s="3">
        <f>IF(C918="","",ROW()-2)</f>
        <v/>
      </c>
      <c r="B918" s="3" t="n"/>
      <c r="C918" s="3" t="n"/>
      <c r="D918" s="4" t="n"/>
      <c r="E918" s="4" t="n"/>
      <c r="F918" s="5" t="n"/>
      <c r="G918" s="6" t="n"/>
      <c r="H918" s="4" t="n"/>
      <c r="I918" s="7" t="n"/>
      <c r="J918" s="4" t="n"/>
    </row>
    <row r="919" ht="22" customHeight="1">
      <c r="A919" s="3">
        <f>IF(C919="","",ROW()-2)</f>
        <v/>
      </c>
      <c r="B919" s="3" t="n"/>
      <c r="C919" s="3" t="n"/>
      <c r="D919" s="4" t="n"/>
      <c r="E919" s="4" t="n"/>
      <c r="F919" s="5" t="n"/>
      <c r="G919" s="6" t="n"/>
      <c r="H919" s="4" t="n"/>
      <c r="I919" s="7" t="n"/>
      <c r="J919" s="4" t="n"/>
    </row>
    <row r="920" ht="22" customHeight="1">
      <c r="A920" s="3">
        <f>IF(C920="","",ROW()-2)</f>
        <v/>
      </c>
      <c r="B920" s="3" t="n"/>
      <c r="C920" s="3" t="n"/>
      <c r="D920" s="4" t="n"/>
      <c r="E920" s="4" t="n"/>
      <c r="F920" s="5" t="n"/>
      <c r="G920" s="6" t="n"/>
      <c r="H920" s="4" t="n"/>
      <c r="I920" s="7" t="n"/>
      <c r="J920" s="4" t="n"/>
    </row>
    <row r="921" ht="22" customHeight="1">
      <c r="A921" s="3">
        <f>IF(C921="","",ROW()-2)</f>
        <v/>
      </c>
      <c r="B921" s="3" t="n"/>
      <c r="C921" s="3" t="n"/>
      <c r="D921" s="4" t="n"/>
      <c r="E921" s="4" t="n"/>
      <c r="F921" s="5" t="n"/>
      <c r="G921" s="6" t="n"/>
      <c r="H921" s="4" t="n"/>
      <c r="I921" s="7" t="n"/>
      <c r="J921" s="4" t="n"/>
    </row>
    <row r="922" ht="22" customHeight="1">
      <c r="A922" s="3">
        <f>IF(C922="","",ROW()-2)</f>
        <v/>
      </c>
      <c r="B922" s="3" t="n"/>
      <c r="C922" s="3" t="n"/>
      <c r="D922" s="4" t="n"/>
      <c r="E922" s="4" t="n"/>
      <c r="F922" s="5" t="n"/>
      <c r="G922" s="6" t="n"/>
      <c r="H922" s="4" t="n"/>
      <c r="I922" s="7" t="n"/>
      <c r="J922" s="4" t="n"/>
    </row>
    <row r="923" ht="22" customHeight="1">
      <c r="A923" s="3">
        <f>IF(C923="","",ROW()-2)</f>
        <v/>
      </c>
      <c r="B923" s="3" t="n"/>
      <c r="C923" s="3" t="n"/>
      <c r="D923" s="4" t="n"/>
      <c r="E923" s="4" t="n"/>
      <c r="F923" s="5" t="n"/>
      <c r="G923" s="6" t="n"/>
      <c r="H923" s="4" t="n"/>
      <c r="I923" s="7" t="n"/>
      <c r="J923" s="4" t="n"/>
    </row>
    <row r="924" ht="22" customHeight="1">
      <c r="A924" s="3">
        <f>IF(C924="","",ROW()-2)</f>
        <v/>
      </c>
      <c r="B924" s="3" t="n"/>
      <c r="C924" s="3" t="n"/>
      <c r="D924" s="4" t="n"/>
      <c r="E924" s="4" t="n"/>
      <c r="F924" s="5" t="n"/>
      <c r="G924" s="6" t="n"/>
      <c r="H924" s="4" t="n"/>
      <c r="I924" s="7" t="n"/>
      <c r="J924" s="4" t="n"/>
    </row>
    <row r="925" ht="22" customHeight="1">
      <c r="A925" s="3">
        <f>IF(C925="","",ROW()-2)</f>
        <v/>
      </c>
      <c r="B925" s="3" t="n"/>
      <c r="C925" s="3" t="n"/>
      <c r="D925" s="4" t="n"/>
      <c r="E925" s="4" t="n"/>
      <c r="F925" s="5" t="n"/>
      <c r="G925" s="6" t="n"/>
      <c r="H925" s="4" t="n"/>
      <c r="I925" s="7" t="n"/>
      <c r="J925" s="4" t="n"/>
    </row>
    <row r="926" ht="22" customHeight="1">
      <c r="A926" s="3">
        <f>IF(C926="","",ROW()-2)</f>
        <v/>
      </c>
      <c r="B926" s="3" t="n"/>
      <c r="C926" s="3" t="n"/>
      <c r="D926" s="4" t="n"/>
      <c r="E926" s="4" t="n"/>
      <c r="F926" s="5" t="n"/>
      <c r="G926" s="6" t="n"/>
      <c r="H926" s="4" t="n"/>
      <c r="I926" s="7" t="n"/>
      <c r="J926" s="4" t="n"/>
    </row>
    <row r="927" ht="22" customHeight="1">
      <c r="A927" s="3">
        <f>IF(C927="","",ROW()-2)</f>
        <v/>
      </c>
      <c r="B927" s="3" t="n"/>
      <c r="C927" s="3" t="n"/>
      <c r="D927" s="4" t="n"/>
      <c r="E927" s="4" t="n"/>
      <c r="F927" s="5" t="n"/>
      <c r="G927" s="6" t="n"/>
      <c r="H927" s="4" t="n"/>
      <c r="I927" s="7" t="n"/>
      <c r="J927" s="4" t="n"/>
    </row>
    <row r="928" ht="22" customHeight="1">
      <c r="A928" s="3">
        <f>IF(C928="","",ROW()-2)</f>
        <v/>
      </c>
      <c r="B928" s="3" t="n"/>
      <c r="C928" s="3" t="n"/>
      <c r="D928" s="4" t="n"/>
      <c r="E928" s="4" t="n"/>
      <c r="F928" s="5" t="n"/>
      <c r="G928" s="6" t="n"/>
      <c r="H928" s="4" t="n"/>
      <c r="I928" s="7" t="n"/>
      <c r="J928" s="4" t="n"/>
    </row>
    <row r="929" ht="22" customHeight="1">
      <c r="A929" s="3">
        <f>IF(C929="","",ROW()-2)</f>
        <v/>
      </c>
      <c r="B929" s="3" t="n"/>
      <c r="C929" s="3" t="n"/>
      <c r="D929" s="4" t="n"/>
      <c r="E929" s="4" t="n"/>
      <c r="F929" s="5" t="n"/>
      <c r="G929" s="6" t="n"/>
      <c r="H929" s="4" t="n"/>
      <c r="I929" s="7" t="n"/>
      <c r="J929" s="4" t="n"/>
    </row>
    <row r="930" ht="22" customHeight="1">
      <c r="A930" s="3">
        <f>IF(C930="","",ROW()-2)</f>
        <v/>
      </c>
      <c r="B930" s="3" t="n"/>
      <c r="C930" s="3" t="n"/>
      <c r="D930" s="4" t="n"/>
      <c r="E930" s="4" t="n"/>
      <c r="F930" s="5" t="n"/>
      <c r="G930" s="6" t="n"/>
      <c r="H930" s="4" t="n"/>
      <c r="I930" s="7" t="n"/>
      <c r="J930" s="4" t="n"/>
    </row>
    <row r="931" ht="22" customHeight="1">
      <c r="A931" s="3">
        <f>IF(C931="","",ROW()-2)</f>
        <v/>
      </c>
      <c r="B931" s="3" t="n"/>
      <c r="C931" s="3" t="n"/>
      <c r="D931" s="4" t="n"/>
      <c r="E931" s="4" t="n"/>
      <c r="F931" s="5" t="n"/>
      <c r="G931" s="6" t="n"/>
      <c r="H931" s="4" t="n"/>
      <c r="I931" s="7" t="n"/>
      <c r="J931" s="4" t="n"/>
    </row>
    <row r="932" ht="22" customHeight="1">
      <c r="A932" s="3">
        <f>IF(C932="","",ROW()-2)</f>
        <v/>
      </c>
      <c r="B932" s="3" t="n"/>
      <c r="C932" s="3" t="n"/>
      <c r="D932" s="4" t="n"/>
      <c r="E932" s="4" t="n"/>
      <c r="F932" s="5" t="n"/>
      <c r="G932" s="6" t="n"/>
      <c r="H932" s="4" t="n"/>
      <c r="I932" s="7" t="n"/>
      <c r="J932" s="4" t="n"/>
    </row>
    <row r="933" ht="22" customHeight="1">
      <c r="A933" s="3">
        <f>IF(C933="","",ROW()-2)</f>
        <v/>
      </c>
      <c r="B933" s="3" t="n"/>
      <c r="C933" s="3" t="n"/>
      <c r="D933" s="4" t="n"/>
      <c r="E933" s="4" t="n"/>
      <c r="F933" s="5" t="n"/>
      <c r="G933" s="6" t="n"/>
      <c r="H933" s="4" t="n"/>
      <c r="I933" s="7" t="n"/>
      <c r="J933" s="4" t="n"/>
    </row>
    <row r="934" ht="22" customHeight="1">
      <c r="A934" s="3">
        <f>IF(C934="","",ROW()-2)</f>
        <v/>
      </c>
      <c r="B934" s="3" t="n"/>
      <c r="C934" s="3" t="n"/>
      <c r="D934" s="4" t="n"/>
      <c r="E934" s="4" t="n"/>
      <c r="F934" s="5" t="n"/>
      <c r="G934" s="6" t="n"/>
      <c r="H934" s="4" t="n"/>
      <c r="I934" s="7" t="n"/>
      <c r="J934" s="4" t="n"/>
    </row>
    <row r="935" ht="22" customHeight="1">
      <c r="A935" s="3">
        <f>IF(C935="","",ROW()-2)</f>
        <v/>
      </c>
      <c r="B935" s="3" t="n"/>
      <c r="C935" s="3" t="n"/>
      <c r="D935" s="4" t="n"/>
      <c r="E935" s="4" t="n"/>
      <c r="F935" s="5" t="n"/>
      <c r="G935" s="6" t="n"/>
      <c r="H935" s="4" t="n"/>
      <c r="I935" s="7" t="n"/>
      <c r="J935" s="4" t="n"/>
    </row>
    <row r="936" ht="22" customHeight="1">
      <c r="A936" s="3">
        <f>IF(C936="","",ROW()-2)</f>
        <v/>
      </c>
      <c r="B936" s="3" t="n"/>
      <c r="C936" s="3" t="n"/>
      <c r="D936" s="4" t="n"/>
      <c r="E936" s="4" t="n"/>
      <c r="F936" s="5" t="n"/>
      <c r="G936" s="6" t="n"/>
      <c r="H936" s="4" t="n"/>
      <c r="I936" s="7" t="n"/>
      <c r="J936" s="4" t="n"/>
    </row>
    <row r="937" ht="22" customHeight="1">
      <c r="A937" s="3">
        <f>IF(C937="","",ROW()-2)</f>
        <v/>
      </c>
      <c r="B937" s="3" t="n"/>
      <c r="C937" s="3" t="n"/>
      <c r="D937" s="4" t="n"/>
      <c r="E937" s="4" t="n"/>
      <c r="F937" s="5" t="n"/>
      <c r="G937" s="6" t="n"/>
      <c r="H937" s="4" t="n"/>
      <c r="I937" s="7" t="n"/>
      <c r="J937" s="4" t="n"/>
    </row>
    <row r="938" ht="22" customHeight="1">
      <c r="A938" s="3">
        <f>IF(C938="","",ROW()-2)</f>
        <v/>
      </c>
      <c r="B938" s="3" t="n"/>
      <c r="C938" s="3" t="n"/>
      <c r="D938" s="4" t="n"/>
      <c r="E938" s="4" t="n"/>
      <c r="F938" s="5" t="n"/>
      <c r="G938" s="6" t="n"/>
      <c r="H938" s="4" t="n"/>
      <c r="I938" s="7" t="n"/>
      <c r="J938" s="4" t="n"/>
    </row>
    <row r="939" ht="22" customHeight="1">
      <c r="A939" s="3">
        <f>IF(C939="","",ROW()-2)</f>
        <v/>
      </c>
      <c r="B939" s="3" t="n"/>
      <c r="C939" s="3" t="n"/>
      <c r="D939" s="4" t="n"/>
      <c r="E939" s="4" t="n"/>
      <c r="F939" s="5" t="n"/>
      <c r="G939" s="6" t="n"/>
      <c r="H939" s="4" t="n"/>
      <c r="I939" s="7" t="n"/>
      <c r="J939" s="4" t="n"/>
    </row>
    <row r="940" ht="22" customHeight="1">
      <c r="A940" s="3">
        <f>IF(C940="","",ROW()-2)</f>
        <v/>
      </c>
      <c r="B940" s="3" t="n"/>
      <c r="C940" s="3" t="n"/>
      <c r="D940" s="4" t="n"/>
      <c r="E940" s="4" t="n"/>
      <c r="F940" s="5" t="n"/>
      <c r="G940" s="6" t="n"/>
      <c r="H940" s="4" t="n"/>
      <c r="I940" s="7" t="n"/>
      <c r="J940" s="4" t="n"/>
    </row>
    <row r="941" ht="22" customHeight="1">
      <c r="A941" s="3">
        <f>IF(C941="","",ROW()-2)</f>
        <v/>
      </c>
      <c r="B941" s="3" t="n"/>
      <c r="C941" s="3" t="n"/>
      <c r="D941" s="4" t="n"/>
      <c r="E941" s="4" t="n"/>
      <c r="F941" s="5" t="n"/>
      <c r="G941" s="6" t="n"/>
      <c r="H941" s="4" t="n"/>
      <c r="I941" s="7" t="n"/>
      <c r="J941" s="4" t="n"/>
    </row>
    <row r="942" ht="22" customHeight="1">
      <c r="A942" s="3">
        <f>IF(C942="","",ROW()-2)</f>
        <v/>
      </c>
      <c r="B942" s="3" t="n"/>
      <c r="C942" s="3" t="n"/>
      <c r="D942" s="4" t="n"/>
      <c r="E942" s="4" t="n"/>
      <c r="F942" s="5" t="n"/>
      <c r="G942" s="6" t="n"/>
      <c r="H942" s="4" t="n"/>
      <c r="I942" s="7" t="n"/>
      <c r="J942" s="4" t="n"/>
    </row>
    <row r="943" ht="22" customHeight="1">
      <c r="A943" s="3">
        <f>IF(C943="","",ROW()-2)</f>
        <v/>
      </c>
      <c r="B943" s="3" t="n"/>
      <c r="C943" s="3" t="n"/>
      <c r="D943" s="4" t="n"/>
      <c r="E943" s="4" t="n"/>
      <c r="F943" s="5" t="n"/>
      <c r="G943" s="6" t="n"/>
      <c r="H943" s="4" t="n"/>
      <c r="I943" s="7" t="n"/>
      <c r="J943" s="4" t="n"/>
    </row>
    <row r="944" ht="22" customHeight="1">
      <c r="A944" s="3">
        <f>IF(C944="","",ROW()-2)</f>
        <v/>
      </c>
      <c r="B944" s="3" t="n"/>
      <c r="C944" s="3" t="n"/>
      <c r="D944" s="4" t="n"/>
      <c r="E944" s="4" t="n"/>
      <c r="F944" s="5" t="n"/>
      <c r="G944" s="6" t="n"/>
      <c r="H944" s="4" t="n"/>
      <c r="I944" s="7" t="n"/>
      <c r="J944" s="4" t="n"/>
    </row>
    <row r="945" ht="22" customHeight="1">
      <c r="A945" s="3">
        <f>IF(C945="","",ROW()-2)</f>
        <v/>
      </c>
      <c r="B945" s="3" t="n"/>
      <c r="C945" s="3" t="n"/>
      <c r="D945" s="4" t="n"/>
      <c r="E945" s="4" t="n"/>
      <c r="F945" s="5" t="n"/>
      <c r="G945" s="6" t="n"/>
      <c r="H945" s="4" t="n"/>
      <c r="I945" s="7" t="n"/>
      <c r="J945" s="4" t="n"/>
    </row>
    <row r="946" ht="22" customHeight="1">
      <c r="A946" s="3">
        <f>IF(C946="","",ROW()-2)</f>
        <v/>
      </c>
      <c r="B946" s="3" t="n"/>
      <c r="C946" s="3" t="n"/>
      <c r="D946" s="4" t="n"/>
      <c r="E946" s="4" t="n"/>
      <c r="F946" s="5" t="n"/>
      <c r="G946" s="6" t="n"/>
      <c r="H946" s="4" t="n"/>
      <c r="I946" s="7" t="n"/>
      <c r="J946" s="4" t="n"/>
    </row>
    <row r="947" ht="22" customHeight="1">
      <c r="A947" s="3">
        <f>IF(C947="","",ROW()-2)</f>
        <v/>
      </c>
      <c r="B947" s="3" t="n"/>
      <c r="C947" s="3" t="n"/>
      <c r="D947" s="4" t="n"/>
      <c r="E947" s="4" t="n"/>
      <c r="F947" s="5" t="n"/>
      <c r="G947" s="6" t="n"/>
      <c r="H947" s="4" t="n"/>
      <c r="I947" s="7" t="n"/>
      <c r="J947" s="4" t="n"/>
    </row>
    <row r="948" ht="22" customHeight="1">
      <c r="A948" s="3">
        <f>IF(C948="","",ROW()-2)</f>
        <v/>
      </c>
      <c r="B948" s="3" t="n"/>
      <c r="C948" s="3" t="n"/>
      <c r="D948" s="4" t="n"/>
      <c r="E948" s="4" t="n"/>
      <c r="F948" s="5" t="n"/>
      <c r="G948" s="6" t="n"/>
      <c r="H948" s="4" t="n"/>
      <c r="I948" s="7" t="n"/>
      <c r="J948" s="4" t="n"/>
    </row>
    <row r="949" ht="22" customHeight="1">
      <c r="A949" s="3">
        <f>IF(C949="","",ROW()-2)</f>
        <v/>
      </c>
      <c r="B949" s="3" t="n"/>
      <c r="C949" s="3" t="n"/>
      <c r="D949" s="4" t="n"/>
      <c r="E949" s="4" t="n"/>
      <c r="F949" s="5" t="n"/>
      <c r="G949" s="6" t="n"/>
      <c r="H949" s="4" t="n"/>
      <c r="I949" s="7" t="n"/>
      <c r="J949" s="4" t="n"/>
    </row>
    <row r="950" ht="22" customHeight="1">
      <c r="A950" s="3">
        <f>IF(C950="","",ROW()-2)</f>
        <v/>
      </c>
      <c r="B950" s="3" t="n"/>
      <c r="C950" s="3" t="n"/>
      <c r="D950" s="4" t="n"/>
      <c r="E950" s="4" t="n"/>
      <c r="F950" s="5" t="n"/>
      <c r="G950" s="6" t="n"/>
      <c r="H950" s="4" t="n"/>
      <c r="I950" s="7" t="n"/>
      <c r="J950" s="4" t="n"/>
    </row>
    <row r="951" ht="22" customHeight="1">
      <c r="A951" s="3">
        <f>IF(C951="","",ROW()-2)</f>
        <v/>
      </c>
      <c r="B951" s="3" t="n"/>
      <c r="C951" s="3" t="n"/>
      <c r="D951" s="4" t="n"/>
      <c r="E951" s="4" t="n"/>
      <c r="F951" s="5" t="n"/>
      <c r="G951" s="6" t="n"/>
      <c r="H951" s="4" t="n"/>
      <c r="I951" s="7" t="n"/>
      <c r="J951" s="4" t="n"/>
    </row>
    <row r="952" ht="22" customHeight="1">
      <c r="A952" s="3">
        <f>IF(C952="","",ROW()-2)</f>
        <v/>
      </c>
      <c r="B952" s="3" t="n"/>
      <c r="C952" s="3" t="n"/>
      <c r="D952" s="4" t="n"/>
      <c r="E952" s="4" t="n"/>
      <c r="F952" s="5" t="n"/>
      <c r="G952" s="6" t="n"/>
      <c r="H952" s="4" t="n"/>
      <c r="I952" s="7" t="n"/>
      <c r="J952" s="4" t="n"/>
    </row>
    <row r="953" ht="22" customHeight="1">
      <c r="A953" s="3">
        <f>IF(C953="","",ROW()-2)</f>
        <v/>
      </c>
      <c r="B953" s="3" t="n"/>
      <c r="C953" s="3" t="n"/>
      <c r="D953" s="4" t="n"/>
      <c r="E953" s="4" t="n"/>
      <c r="F953" s="5" t="n"/>
      <c r="G953" s="6" t="n"/>
      <c r="H953" s="4" t="n"/>
      <c r="I953" s="7" t="n"/>
      <c r="J953" s="4" t="n"/>
    </row>
    <row r="954" ht="22" customHeight="1">
      <c r="A954" s="3">
        <f>IF(C954="","",ROW()-2)</f>
        <v/>
      </c>
      <c r="B954" s="3" t="n"/>
      <c r="C954" s="3" t="n"/>
      <c r="D954" s="4" t="n"/>
      <c r="E954" s="4" t="n"/>
      <c r="F954" s="5" t="n"/>
      <c r="G954" s="6" t="n"/>
      <c r="H954" s="4" t="n"/>
      <c r="I954" s="7" t="n"/>
      <c r="J954" s="4" t="n"/>
    </row>
    <row r="955" ht="22" customHeight="1">
      <c r="A955" s="3">
        <f>IF(C955="","",ROW()-2)</f>
        <v/>
      </c>
      <c r="B955" s="3" t="n"/>
      <c r="C955" s="3" t="n"/>
      <c r="D955" s="4" t="n"/>
      <c r="E955" s="4" t="n"/>
      <c r="F955" s="5" t="n"/>
      <c r="G955" s="6" t="n"/>
      <c r="H955" s="4" t="n"/>
      <c r="I955" s="7" t="n"/>
      <c r="J955" s="4" t="n"/>
    </row>
    <row r="956" ht="22" customHeight="1">
      <c r="A956" s="3">
        <f>IF(C956="","",ROW()-2)</f>
        <v/>
      </c>
      <c r="B956" s="3" t="n"/>
      <c r="C956" s="3" t="n"/>
      <c r="D956" s="4" t="n"/>
      <c r="E956" s="4" t="n"/>
      <c r="F956" s="5" t="n"/>
      <c r="G956" s="6" t="n"/>
      <c r="H956" s="4" t="n"/>
      <c r="I956" s="7" t="n"/>
      <c r="J956" s="4" t="n"/>
    </row>
    <row r="957" ht="22" customHeight="1">
      <c r="A957" s="3">
        <f>IF(C957="","",ROW()-2)</f>
        <v/>
      </c>
      <c r="B957" s="3" t="n"/>
      <c r="C957" s="3" t="n"/>
      <c r="D957" s="4" t="n"/>
      <c r="E957" s="4" t="n"/>
      <c r="F957" s="5" t="n"/>
      <c r="G957" s="6" t="n"/>
      <c r="H957" s="4" t="n"/>
      <c r="I957" s="7" t="n"/>
      <c r="J957" s="4" t="n"/>
    </row>
    <row r="958" ht="22" customHeight="1">
      <c r="A958" s="3">
        <f>IF(C958="","",ROW()-2)</f>
        <v/>
      </c>
      <c r="B958" s="3" t="n"/>
      <c r="C958" s="3" t="n"/>
      <c r="D958" s="4" t="n"/>
      <c r="E958" s="4" t="n"/>
      <c r="F958" s="5" t="n"/>
      <c r="G958" s="6" t="n"/>
      <c r="H958" s="4" t="n"/>
      <c r="I958" s="7" t="n"/>
      <c r="J958" s="4" t="n"/>
    </row>
    <row r="959" ht="22" customHeight="1">
      <c r="A959" s="3">
        <f>IF(C959="","",ROW()-2)</f>
        <v/>
      </c>
      <c r="B959" s="3" t="n"/>
      <c r="C959" s="3" t="n"/>
      <c r="D959" s="4" t="n"/>
      <c r="E959" s="4" t="n"/>
      <c r="F959" s="5" t="n"/>
      <c r="G959" s="6" t="n"/>
      <c r="H959" s="4" t="n"/>
      <c r="I959" s="7" t="n"/>
      <c r="J959" s="4" t="n"/>
    </row>
    <row r="960" ht="22" customHeight="1">
      <c r="A960" s="3">
        <f>IF(C960="","",ROW()-2)</f>
        <v/>
      </c>
      <c r="B960" s="3" t="n"/>
      <c r="C960" s="3" t="n"/>
      <c r="D960" s="4" t="n"/>
      <c r="E960" s="4" t="n"/>
      <c r="F960" s="5" t="n"/>
      <c r="G960" s="6" t="n"/>
      <c r="H960" s="4" t="n"/>
      <c r="I960" s="7" t="n"/>
      <c r="J960" s="4" t="n"/>
    </row>
    <row r="961" ht="22" customHeight="1">
      <c r="A961" s="3">
        <f>IF(C961="","",ROW()-2)</f>
        <v/>
      </c>
      <c r="B961" s="3" t="n"/>
      <c r="C961" s="3" t="n"/>
      <c r="D961" s="4" t="n"/>
      <c r="E961" s="4" t="n"/>
      <c r="F961" s="5" t="n"/>
      <c r="G961" s="6" t="n"/>
      <c r="H961" s="4" t="n"/>
      <c r="I961" s="7" t="n"/>
      <c r="J961" s="4" t="n"/>
    </row>
    <row r="962" ht="22" customHeight="1">
      <c r="A962" s="3">
        <f>IF(C962="","",ROW()-2)</f>
        <v/>
      </c>
      <c r="B962" s="3" t="n"/>
      <c r="C962" s="3" t="n"/>
      <c r="D962" s="4" t="n"/>
      <c r="E962" s="4" t="n"/>
      <c r="F962" s="5" t="n"/>
      <c r="G962" s="6" t="n"/>
      <c r="H962" s="4" t="n"/>
      <c r="I962" s="7" t="n"/>
      <c r="J962" s="4" t="n"/>
    </row>
    <row r="963" ht="22" customHeight="1">
      <c r="A963" s="3">
        <f>IF(C963="","",ROW()-2)</f>
        <v/>
      </c>
      <c r="B963" s="3" t="n"/>
      <c r="C963" s="3" t="n"/>
      <c r="D963" s="4" t="n"/>
      <c r="E963" s="4" t="n"/>
      <c r="F963" s="5" t="n"/>
      <c r="G963" s="6" t="n"/>
      <c r="H963" s="4" t="n"/>
      <c r="I963" s="7" t="n"/>
      <c r="J963" s="4" t="n"/>
    </row>
    <row r="964" ht="22" customHeight="1">
      <c r="A964" s="3">
        <f>IF(C964="","",ROW()-2)</f>
        <v/>
      </c>
      <c r="B964" s="3" t="n"/>
      <c r="C964" s="3" t="n"/>
      <c r="D964" s="4" t="n"/>
      <c r="E964" s="4" t="n"/>
      <c r="F964" s="5" t="n"/>
      <c r="G964" s="6" t="n"/>
      <c r="H964" s="4" t="n"/>
      <c r="I964" s="7" t="n"/>
      <c r="J964" s="4" t="n"/>
    </row>
    <row r="965" ht="22" customHeight="1">
      <c r="A965" s="3">
        <f>IF(C965="","",ROW()-2)</f>
        <v/>
      </c>
      <c r="B965" s="3" t="n"/>
      <c r="C965" s="3" t="n"/>
      <c r="D965" s="4" t="n"/>
      <c r="E965" s="4" t="n"/>
      <c r="F965" s="5" t="n"/>
      <c r="G965" s="6" t="n"/>
      <c r="H965" s="4" t="n"/>
      <c r="I965" s="7" t="n"/>
      <c r="J965" s="4" t="n"/>
    </row>
    <row r="966" ht="22" customHeight="1">
      <c r="A966" s="3">
        <f>IF(C966="","",ROW()-2)</f>
        <v/>
      </c>
      <c r="B966" s="3" t="n"/>
      <c r="C966" s="3" t="n"/>
      <c r="D966" s="4" t="n"/>
      <c r="E966" s="4" t="n"/>
      <c r="F966" s="5" t="n"/>
      <c r="G966" s="6" t="n"/>
      <c r="H966" s="4" t="n"/>
      <c r="I966" s="7" t="n"/>
      <c r="J966" s="4" t="n"/>
    </row>
    <row r="967" ht="22" customHeight="1">
      <c r="A967" s="3">
        <f>IF(C967="","",ROW()-2)</f>
        <v/>
      </c>
      <c r="B967" s="3" t="n"/>
      <c r="C967" s="3" t="n"/>
      <c r="D967" s="4" t="n"/>
      <c r="E967" s="4" t="n"/>
      <c r="F967" s="5" t="n"/>
      <c r="G967" s="6" t="n"/>
      <c r="H967" s="4" t="n"/>
      <c r="I967" s="7" t="n"/>
      <c r="J967" s="4" t="n"/>
    </row>
    <row r="968" ht="22" customHeight="1">
      <c r="A968" s="3">
        <f>IF(C968="","",ROW()-2)</f>
        <v/>
      </c>
      <c r="B968" s="3" t="n"/>
      <c r="C968" s="3" t="n"/>
      <c r="D968" s="4" t="n"/>
      <c r="E968" s="4" t="n"/>
      <c r="F968" s="5" t="n"/>
      <c r="G968" s="6" t="n"/>
      <c r="H968" s="4" t="n"/>
      <c r="I968" s="7" t="n"/>
      <c r="J968" s="4" t="n"/>
    </row>
    <row r="969" ht="22" customHeight="1">
      <c r="A969" s="3">
        <f>IF(C969="","",ROW()-2)</f>
        <v/>
      </c>
      <c r="B969" s="3" t="n"/>
      <c r="C969" s="3" t="n"/>
      <c r="D969" s="4" t="n"/>
      <c r="E969" s="4" t="n"/>
      <c r="F969" s="5" t="n"/>
      <c r="G969" s="6" t="n"/>
      <c r="H969" s="4" t="n"/>
      <c r="I969" s="7" t="n"/>
      <c r="J969" s="4" t="n"/>
    </row>
    <row r="970" ht="22" customHeight="1">
      <c r="A970" s="3">
        <f>IF(C970="","",ROW()-2)</f>
        <v/>
      </c>
      <c r="B970" s="3" t="n"/>
      <c r="C970" s="3" t="n"/>
      <c r="D970" s="4" t="n"/>
      <c r="E970" s="4" t="n"/>
      <c r="F970" s="5" t="n"/>
      <c r="G970" s="6" t="n"/>
      <c r="H970" s="4" t="n"/>
      <c r="I970" s="7" t="n"/>
      <c r="J970" s="4" t="n"/>
    </row>
    <row r="971" ht="22" customHeight="1">
      <c r="A971" s="3">
        <f>IF(C971="","",ROW()-2)</f>
        <v/>
      </c>
      <c r="B971" s="3" t="n"/>
      <c r="C971" s="3" t="n"/>
      <c r="D971" s="4" t="n"/>
      <c r="E971" s="4" t="n"/>
      <c r="F971" s="5" t="n"/>
      <c r="G971" s="6" t="n"/>
      <c r="H971" s="4" t="n"/>
      <c r="I971" s="7" t="n"/>
      <c r="J971" s="4" t="n"/>
    </row>
    <row r="972" ht="22" customHeight="1">
      <c r="A972" s="3">
        <f>IF(C972="","",ROW()-2)</f>
        <v/>
      </c>
      <c r="B972" s="3" t="n"/>
      <c r="C972" s="3" t="n"/>
      <c r="D972" s="4" t="n"/>
      <c r="E972" s="4" t="n"/>
      <c r="F972" s="5" t="n"/>
      <c r="G972" s="6" t="n"/>
      <c r="H972" s="4" t="n"/>
      <c r="I972" s="7" t="n"/>
      <c r="J972" s="4" t="n"/>
    </row>
    <row r="973" ht="22" customHeight="1">
      <c r="A973" s="3">
        <f>IF(C973="","",ROW()-2)</f>
        <v/>
      </c>
      <c r="B973" s="3" t="n"/>
      <c r="C973" s="3" t="n"/>
      <c r="D973" s="4" t="n"/>
      <c r="E973" s="4" t="n"/>
      <c r="F973" s="5" t="n"/>
      <c r="G973" s="6" t="n"/>
      <c r="H973" s="4" t="n"/>
      <c r="I973" s="7" t="n"/>
      <c r="J973" s="4" t="n"/>
    </row>
    <row r="974" ht="22" customHeight="1">
      <c r="A974" s="3">
        <f>IF(C974="","",ROW()-2)</f>
        <v/>
      </c>
      <c r="B974" s="3" t="n"/>
      <c r="C974" s="3" t="n"/>
      <c r="D974" s="4" t="n"/>
      <c r="E974" s="4" t="n"/>
      <c r="F974" s="5" t="n"/>
      <c r="G974" s="6" t="n"/>
      <c r="H974" s="4" t="n"/>
      <c r="I974" s="7" t="n"/>
      <c r="J974" s="4" t="n"/>
    </row>
    <row r="975" ht="22" customHeight="1">
      <c r="A975" s="3">
        <f>IF(C975="","",ROW()-2)</f>
        <v/>
      </c>
      <c r="B975" s="3" t="n"/>
      <c r="C975" s="3" t="n"/>
      <c r="D975" s="4" t="n"/>
      <c r="E975" s="4" t="n"/>
      <c r="F975" s="5" t="n"/>
      <c r="G975" s="6" t="n"/>
      <c r="H975" s="4" t="n"/>
      <c r="I975" s="7" t="n"/>
      <c r="J975" s="4" t="n"/>
    </row>
    <row r="976" ht="22" customHeight="1">
      <c r="A976" s="3">
        <f>IF(C976="","",ROW()-2)</f>
        <v/>
      </c>
      <c r="B976" s="3" t="n"/>
      <c r="C976" s="3" t="n"/>
      <c r="D976" s="4" t="n"/>
      <c r="E976" s="4" t="n"/>
      <c r="F976" s="5" t="n"/>
      <c r="G976" s="6" t="n"/>
      <c r="H976" s="4" t="n"/>
      <c r="I976" s="7" t="n"/>
      <c r="J976" s="4" t="n"/>
    </row>
    <row r="977" ht="22" customHeight="1">
      <c r="A977" s="3">
        <f>IF(C977="","",ROW()-2)</f>
        <v/>
      </c>
      <c r="B977" s="3" t="n"/>
      <c r="C977" s="3" t="n"/>
      <c r="D977" s="4" t="n"/>
      <c r="E977" s="4" t="n"/>
      <c r="F977" s="5" t="n"/>
      <c r="G977" s="6" t="n"/>
      <c r="H977" s="4" t="n"/>
      <c r="I977" s="7" t="n"/>
      <c r="J977" s="4" t="n"/>
    </row>
    <row r="978" ht="22" customHeight="1">
      <c r="A978" s="3">
        <f>IF(C978="","",ROW()-2)</f>
        <v/>
      </c>
      <c r="B978" s="3" t="n"/>
      <c r="C978" s="3" t="n"/>
      <c r="D978" s="4" t="n"/>
      <c r="E978" s="4" t="n"/>
      <c r="F978" s="5" t="n"/>
      <c r="G978" s="6" t="n"/>
      <c r="H978" s="4" t="n"/>
      <c r="I978" s="7" t="n"/>
      <c r="J978" s="4" t="n"/>
    </row>
    <row r="979" ht="22" customHeight="1">
      <c r="A979" s="3">
        <f>IF(C979="","",ROW()-2)</f>
        <v/>
      </c>
      <c r="B979" s="3" t="n"/>
      <c r="C979" s="3" t="n"/>
      <c r="D979" s="4" t="n"/>
      <c r="E979" s="4" t="n"/>
      <c r="F979" s="5" t="n"/>
      <c r="G979" s="6" t="n"/>
      <c r="H979" s="4" t="n"/>
      <c r="I979" s="7" t="n"/>
      <c r="J979" s="4" t="n"/>
    </row>
    <row r="980" ht="22" customHeight="1">
      <c r="A980" s="3">
        <f>IF(C980="","",ROW()-2)</f>
        <v/>
      </c>
      <c r="B980" s="3" t="n"/>
      <c r="C980" s="3" t="n"/>
      <c r="D980" s="4" t="n"/>
      <c r="E980" s="4" t="n"/>
      <c r="F980" s="5" t="n"/>
      <c r="G980" s="6" t="n"/>
      <c r="H980" s="4" t="n"/>
      <c r="I980" s="7" t="n"/>
      <c r="J980" s="4" t="n"/>
    </row>
    <row r="981" ht="22" customHeight="1">
      <c r="A981" s="3">
        <f>IF(C981="","",ROW()-2)</f>
        <v/>
      </c>
      <c r="B981" s="3" t="n"/>
      <c r="C981" s="3" t="n"/>
      <c r="D981" s="4" t="n"/>
      <c r="E981" s="4" t="n"/>
      <c r="F981" s="5" t="n"/>
      <c r="G981" s="6" t="n"/>
      <c r="H981" s="4" t="n"/>
      <c r="I981" s="7" t="n"/>
      <c r="J981" s="4" t="n"/>
    </row>
    <row r="982" ht="22" customHeight="1">
      <c r="A982" s="3">
        <f>IF(C982="","",ROW()-2)</f>
        <v/>
      </c>
      <c r="B982" s="3" t="n"/>
      <c r="C982" s="3" t="n"/>
      <c r="D982" s="4" t="n"/>
      <c r="E982" s="4" t="n"/>
      <c r="F982" s="5" t="n"/>
      <c r="G982" s="6" t="n"/>
      <c r="H982" s="4" t="n"/>
      <c r="I982" s="7" t="n"/>
      <c r="J982" s="4" t="n"/>
    </row>
    <row r="983" ht="22" customHeight="1">
      <c r="A983" s="3">
        <f>IF(C983="","",ROW()-2)</f>
        <v/>
      </c>
      <c r="B983" s="3" t="n"/>
      <c r="C983" s="3" t="n"/>
      <c r="D983" s="4" t="n"/>
      <c r="E983" s="4" t="n"/>
      <c r="F983" s="5" t="n"/>
      <c r="G983" s="6" t="n"/>
      <c r="H983" s="4" t="n"/>
      <c r="I983" s="7" t="n"/>
      <c r="J983" s="4" t="n"/>
    </row>
    <row r="984" ht="22" customHeight="1">
      <c r="A984" s="3">
        <f>IF(C984="","",ROW()-2)</f>
        <v/>
      </c>
      <c r="B984" s="3" t="n"/>
      <c r="C984" s="3" t="n"/>
      <c r="D984" s="4" t="n"/>
      <c r="E984" s="4" t="n"/>
      <c r="F984" s="5" t="n"/>
      <c r="G984" s="6" t="n"/>
      <c r="H984" s="4" t="n"/>
      <c r="I984" s="7" t="n"/>
      <c r="J984" s="4" t="n"/>
    </row>
    <row r="985" ht="22" customHeight="1">
      <c r="A985" s="3">
        <f>IF(C985="","",ROW()-2)</f>
        <v/>
      </c>
      <c r="B985" s="3" t="n"/>
      <c r="C985" s="3" t="n"/>
      <c r="D985" s="4" t="n"/>
      <c r="E985" s="4" t="n"/>
      <c r="F985" s="5" t="n"/>
      <c r="G985" s="6" t="n"/>
      <c r="H985" s="4" t="n"/>
      <c r="I985" s="7" t="n"/>
      <c r="J985" s="4" t="n"/>
    </row>
    <row r="986" ht="22" customHeight="1">
      <c r="A986" s="3">
        <f>IF(C986="","",ROW()-2)</f>
        <v/>
      </c>
      <c r="B986" s="3" t="n"/>
      <c r="C986" s="3" t="n"/>
      <c r="D986" s="4" t="n"/>
      <c r="E986" s="4" t="n"/>
      <c r="F986" s="5" t="n"/>
      <c r="G986" s="6" t="n"/>
      <c r="H986" s="4" t="n"/>
      <c r="I986" s="7" t="n"/>
      <c r="J986" s="4" t="n"/>
    </row>
    <row r="987" ht="22" customHeight="1">
      <c r="A987" s="3">
        <f>IF(C987="","",ROW()-2)</f>
        <v/>
      </c>
      <c r="B987" s="3" t="n"/>
      <c r="C987" s="3" t="n"/>
      <c r="D987" s="4" t="n"/>
      <c r="E987" s="4" t="n"/>
      <c r="F987" s="5" t="n"/>
      <c r="G987" s="6" t="n"/>
      <c r="H987" s="4" t="n"/>
      <c r="I987" s="7" t="n"/>
      <c r="J987" s="4" t="n"/>
    </row>
    <row r="988" ht="22" customHeight="1">
      <c r="A988" s="3">
        <f>IF(C988="","",ROW()-2)</f>
        <v/>
      </c>
      <c r="B988" s="3" t="n"/>
      <c r="C988" s="3" t="n"/>
      <c r="D988" s="4" t="n"/>
      <c r="E988" s="4" t="n"/>
      <c r="F988" s="5" t="n"/>
      <c r="G988" s="6" t="n"/>
      <c r="H988" s="4" t="n"/>
      <c r="I988" s="7" t="n"/>
      <c r="J988" s="4" t="n"/>
    </row>
    <row r="989" ht="22" customHeight="1">
      <c r="A989" s="3">
        <f>IF(C989="","",ROW()-2)</f>
        <v/>
      </c>
      <c r="B989" s="3" t="n"/>
      <c r="C989" s="3" t="n"/>
      <c r="D989" s="4" t="n"/>
      <c r="E989" s="4" t="n"/>
      <c r="F989" s="5" t="n"/>
      <c r="G989" s="6" t="n"/>
      <c r="H989" s="4" t="n"/>
      <c r="I989" s="7" t="n"/>
      <c r="J989" s="4" t="n"/>
    </row>
    <row r="990" ht="22" customHeight="1">
      <c r="A990" s="3">
        <f>IF(C990="","",ROW()-2)</f>
        <v/>
      </c>
      <c r="B990" s="3" t="n"/>
      <c r="C990" s="3" t="n"/>
      <c r="D990" s="4" t="n"/>
      <c r="E990" s="4" t="n"/>
      <c r="F990" s="5" t="n"/>
      <c r="G990" s="6" t="n"/>
      <c r="H990" s="4" t="n"/>
      <c r="I990" s="7" t="n"/>
      <c r="J990" s="4" t="n"/>
    </row>
    <row r="991" ht="22" customHeight="1">
      <c r="A991" s="3">
        <f>IF(C991="","",ROW()-2)</f>
        <v/>
      </c>
      <c r="B991" s="3" t="n"/>
      <c r="C991" s="3" t="n"/>
      <c r="D991" s="4" t="n"/>
      <c r="E991" s="4" t="n"/>
      <c r="F991" s="5" t="n"/>
      <c r="G991" s="6" t="n"/>
      <c r="H991" s="4" t="n"/>
      <c r="I991" s="7" t="n"/>
      <c r="J991" s="4" t="n"/>
    </row>
    <row r="992" ht="22" customHeight="1">
      <c r="A992" s="3">
        <f>IF(C992="","",ROW()-2)</f>
        <v/>
      </c>
      <c r="B992" s="3" t="n"/>
      <c r="C992" s="3" t="n"/>
      <c r="D992" s="4" t="n"/>
      <c r="E992" s="4" t="n"/>
      <c r="F992" s="5" t="n"/>
      <c r="G992" s="6" t="n"/>
      <c r="H992" s="4" t="n"/>
      <c r="I992" s="7" t="n"/>
      <c r="J992" s="4" t="n"/>
    </row>
    <row r="993" ht="22" customHeight="1">
      <c r="A993" s="3">
        <f>IF(C993="","",ROW()-2)</f>
        <v/>
      </c>
      <c r="B993" s="3" t="n"/>
      <c r="C993" s="3" t="n"/>
      <c r="D993" s="4" t="n"/>
      <c r="E993" s="4" t="n"/>
      <c r="F993" s="5" t="n"/>
      <c r="G993" s="6" t="n"/>
      <c r="H993" s="4" t="n"/>
      <c r="I993" s="7" t="n"/>
      <c r="J993" s="4" t="n"/>
    </row>
    <row r="994" ht="22" customHeight="1">
      <c r="A994" s="3">
        <f>IF(C994="","",ROW()-2)</f>
        <v/>
      </c>
      <c r="B994" s="3" t="n"/>
      <c r="C994" s="3" t="n"/>
      <c r="D994" s="4" t="n"/>
      <c r="E994" s="4" t="n"/>
      <c r="F994" s="5" t="n"/>
      <c r="G994" s="6" t="n"/>
      <c r="H994" s="4" t="n"/>
      <c r="I994" s="7" t="n"/>
      <c r="J994" s="4" t="n"/>
    </row>
    <row r="995" ht="22" customHeight="1">
      <c r="A995" s="3">
        <f>IF(C995="","",ROW()-2)</f>
        <v/>
      </c>
      <c r="B995" s="3" t="n"/>
      <c r="C995" s="3" t="n"/>
      <c r="D995" s="4" t="n"/>
      <c r="E995" s="4" t="n"/>
      <c r="F995" s="5" t="n"/>
      <c r="G995" s="6" t="n"/>
      <c r="H995" s="4" t="n"/>
      <c r="I995" s="7" t="n"/>
      <c r="J995" s="4" t="n"/>
    </row>
    <row r="996" ht="22" customHeight="1">
      <c r="A996" s="3">
        <f>IF(C996="","",ROW()-2)</f>
        <v/>
      </c>
      <c r="B996" s="3" t="n"/>
      <c r="C996" s="3" t="n"/>
      <c r="D996" s="4" t="n"/>
      <c r="E996" s="4" t="n"/>
      <c r="F996" s="5" t="n"/>
      <c r="G996" s="6" t="n"/>
      <c r="H996" s="4" t="n"/>
      <c r="I996" s="7" t="n"/>
      <c r="J996" s="4" t="n"/>
    </row>
    <row r="997" ht="22" customHeight="1">
      <c r="A997" s="3">
        <f>IF(C997="","",ROW()-2)</f>
        <v/>
      </c>
      <c r="B997" s="3" t="n"/>
      <c r="C997" s="3" t="n"/>
      <c r="D997" s="4" t="n"/>
      <c r="E997" s="4" t="n"/>
      <c r="F997" s="5" t="n"/>
      <c r="G997" s="6" t="n"/>
      <c r="H997" s="4" t="n"/>
      <c r="I997" s="7" t="n"/>
      <c r="J997" s="4" t="n"/>
    </row>
    <row r="998" ht="22" customHeight="1">
      <c r="A998" s="3">
        <f>IF(C998="","",ROW()-2)</f>
        <v/>
      </c>
      <c r="B998" s="3" t="n"/>
      <c r="C998" s="3" t="n"/>
      <c r="D998" s="4" t="n"/>
      <c r="E998" s="4" t="n"/>
      <c r="F998" s="5" t="n"/>
      <c r="G998" s="6" t="n"/>
      <c r="H998" s="4" t="n"/>
      <c r="I998" s="7" t="n"/>
      <c r="J998" s="4" t="n"/>
    </row>
    <row r="999" ht="22" customHeight="1">
      <c r="A999" s="3">
        <f>IF(C999="","",ROW()-2)</f>
        <v/>
      </c>
      <c r="B999" s="3" t="n"/>
      <c r="C999" s="3" t="n"/>
      <c r="D999" s="4" t="n"/>
      <c r="E999" s="4" t="n"/>
      <c r="F999" s="5" t="n"/>
      <c r="G999" s="6" t="n"/>
      <c r="H999" s="4" t="n"/>
      <c r="I999" s="7" t="n"/>
      <c r="J999" s="4" t="n"/>
    </row>
    <row r="1000" ht="22" customHeight="1">
      <c r="A1000" s="3">
        <f>IF(C1000="","",ROW()-2)</f>
        <v/>
      </c>
      <c r="B1000" s="3" t="n"/>
      <c r="C1000" s="3" t="n"/>
      <c r="D1000" s="4" t="n"/>
      <c r="E1000" s="4" t="n"/>
      <c r="F1000" s="5" t="n"/>
      <c r="G1000" s="6" t="n"/>
      <c r="H1000" s="4" t="n"/>
      <c r="I1000" s="7" t="n"/>
      <c r="J1000" s="4" t="n"/>
    </row>
    <row r="1001" ht="22" customHeight="1">
      <c r="A1001" s="3">
        <f>IF(C1001="","",ROW()-2)</f>
        <v/>
      </c>
      <c r="B1001" s="3" t="n"/>
      <c r="C1001" s="3" t="n"/>
      <c r="D1001" s="4" t="n"/>
      <c r="E1001" s="4" t="n"/>
      <c r="F1001" s="5" t="n"/>
      <c r="G1001" s="6" t="n"/>
      <c r="H1001" s="4" t="n"/>
      <c r="I1001" s="7" t="n"/>
      <c r="J1001" s="4" t="n"/>
    </row>
    <row r="1002" ht="22" customHeight="1">
      <c r="A1002" s="3">
        <f>IF(C1002="","",ROW()-2)</f>
        <v/>
      </c>
      <c r="B1002" s="3" t="n"/>
      <c r="C1002" s="3" t="n"/>
      <c r="D1002" s="4" t="n"/>
      <c r="E1002" s="4" t="n"/>
      <c r="F1002" s="5" t="n"/>
      <c r="G1002" s="6" t="n"/>
      <c r="H1002" s="4" t="n"/>
      <c r="I1002" s="7" t="n"/>
      <c r="J1002" s="4" t="n"/>
    </row>
    <row r="1004" ht="28" customHeight="1">
      <c r="A1004" s="8" t="inlineStr">
        <is>
          <t>📊 合计</t>
        </is>
      </c>
      <c r="G1004" s="9">
        <f>SUM(G3:G1002)</f>
        <v/>
      </c>
      <c r="H1004" s="10">
        <f>COUNTA(C3:C1002) &amp; " 笔订单"</f>
        <v/>
      </c>
    </row>
  </sheetData>
  <mergeCells count="3">
    <mergeCell ref="A1004:F1004"/>
    <mergeCell ref="A1:J1"/>
    <mergeCell ref="H1004:J10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>
        <f>SUMPRODUCT((YEAR('🛒购买记录明细'!C3:C1002)=2026)*(MONTH('🛒购买记录明细'!C3:C1002)=1)*('🛒购买记录明细'!C3:C1002&lt;&gt;""))</f>
        <v/>
      </c>
      <c r="D3" s="6">
        <f>SUMPRODUCT((YEAR('🛒购买记录明细'!C3:C1002)=2026)*(MONTH('🛒购买记录明细'!C3:C1002)=1)*('🛒购买记录明细'!G3:G1002))</f>
        <v/>
      </c>
      <c r="E3" s="6">
        <f>IF(C3=0,0,D3/C3)</f>
        <v/>
      </c>
      <c r="F3" s="11">
        <f>IF(D3=0,0,D3/SUM($D$3:$D$14))</f>
        <v/>
      </c>
    </row>
    <row r="4" ht="22" customHeight="1">
      <c r="A4" s="3" t="n">
        <v>2026</v>
      </c>
      <c r="B4" s="3" t="inlineStr">
        <is>
          <t>02月</t>
        </is>
      </c>
      <c r="C4" s="3">
        <f>SUMPRODUCT((YEAR('🛒购买记录明细'!C3:C1002)=2026)*(MONTH('🛒购买记录明细'!C3:C1002)=2)*('🛒购买记录明细'!C3:C1002&lt;&gt;""))</f>
        <v/>
      </c>
      <c r="D4" s="6">
        <f>SUMPRODUCT((YEAR('🛒购买记录明细'!C3:C1002)=2026)*(MONTH('🛒购买记录明细'!C3:C1002)=2)*('🛒购买记录明细'!G3:G1002))</f>
        <v/>
      </c>
      <c r="E4" s="6">
        <f>IF(C4=0,0,D4/C4)</f>
        <v/>
      </c>
      <c r="F4" s="11">
        <f>IF(D4=0,0,D4/SUM($D$3:$D$14))</f>
        <v/>
      </c>
    </row>
    <row r="5" ht="22" customHeight="1">
      <c r="A5" s="3" t="n">
        <v>2026</v>
      </c>
      <c r="B5" s="3" t="inlineStr">
        <is>
          <t>03月</t>
        </is>
      </c>
      <c r="C5" s="3">
        <f>SUMPRODUCT((YEAR('🛒购买记录明细'!C3:C1002)=2026)*(MONTH('🛒购买记录明细'!C3:C1002)=3)*('🛒购买记录明细'!C3:C1002&lt;&gt;""))</f>
        <v/>
      </c>
      <c r="D5" s="6">
        <f>SUMPRODUCT((YEAR('🛒购买记录明细'!C3:C1002)=2026)*(MONTH('🛒购买记录明细'!C3:C1002)=3)*('🛒购买记录明细'!G3:G1002))</f>
        <v/>
      </c>
      <c r="E5" s="6">
        <f>IF(C5=0,0,D5/C5)</f>
        <v/>
      </c>
      <c r="F5" s="11">
        <f>IF(D5=0,0,D5/SUM($D$3:$D$14))</f>
        <v/>
      </c>
    </row>
    <row r="6" ht="22" customHeight="1">
      <c r="A6" s="3" t="n">
        <v>2026</v>
      </c>
      <c r="B6" s="3" t="inlineStr">
        <is>
          <t>04月</t>
        </is>
      </c>
      <c r="C6" s="3">
        <f>SUMPRODUCT((YEAR('🛒购买记录明细'!C3:C1002)=2026)*(MONTH('🛒购买记录明细'!C3:C1002)=4)*('🛒购买记录明细'!C3:C1002&lt;&gt;""))</f>
        <v/>
      </c>
      <c r="D6" s="6">
        <f>SUMPRODUCT((YEAR('🛒购买记录明细'!C3:C1002)=2026)*(MONTH('🛒购买记录明细'!C3:C1002)=4)*('🛒购买记录明细'!G3:G1002))</f>
        <v/>
      </c>
      <c r="E6" s="6">
        <f>IF(C6=0,0,D6/C6)</f>
        <v/>
      </c>
      <c r="F6" s="11">
        <f>IF(D6=0,0,D6/SUM($D$3:$D$14))</f>
        <v/>
      </c>
    </row>
    <row r="7" ht="22" customHeight="1">
      <c r="A7" s="3" t="n">
        <v>2026</v>
      </c>
      <c r="B7" s="3" t="inlineStr">
        <is>
          <t>05月</t>
        </is>
      </c>
      <c r="C7" s="3">
        <f>SUMPRODUCT((YEAR('🛒购买记录明细'!C3:C1002)=2026)*(MONTH('🛒购买记录明细'!C3:C1002)=5)*('🛒购买记录明细'!C3:C1002&lt;&gt;""))</f>
        <v/>
      </c>
      <c r="D7" s="6">
        <f>SUMPRODUCT((YEAR('🛒购买记录明细'!C3:C1002)=2026)*(MONTH('🛒购买记录明细'!C3:C1002)=5)*('🛒购买记录明细'!G3:G1002))</f>
        <v/>
      </c>
      <c r="E7" s="6">
        <f>IF(C7=0,0,D7/C7)</f>
        <v/>
      </c>
      <c r="F7" s="11">
        <f>IF(D7=0,0,D7/SUM($D$3:$D$14))</f>
        <v/>
      </c>
    </row>
    <row r="8" ht="22" customHeight="1">
      <c r="A8" s="3" t="n">
        <v>2026</v>
      </c>
      <c r="B8" s="3" t="inlineStr">
        <is>
          <t>06月</t>
        </is>
      </c>
      <c r="C8" s="3">
        <f>SUMPRODUCT((YEAR('🛒购买记录明细'!C3:C1002)=2026)*(MONTH('🛒购买记录明细'!C3:C1002)=6)*('🛒购买记录明细'!C3:C1002&lt;&gt;""))</f>
        <v/>
      </c>
      <c r="D8" s="6">
        <f>SUMPRODUCT((YEAR('🛒购买记录明细'!C3:C1002)=2026)*(MONTH('🛒购买记录明细'!C3:C1002)=6)*('🛒购买记录明细'!G3:G1002))</f>
        <v/>
      </c>
      <c r="E8" s="6">
        <f>IF(C8=0,0,D8/C8)</f>
        <v/>
      </c>
      <c r="F8" s="11">
        <f>IF(D8=0,0,D8/SUM($D$3:$D$14))</f>
        <v/>
      </c>
    </row>
    <row r="9" ht="22" customHeight="1">
      <c r="A9" s="3" t="n">
        <v>2026</v>
      </c>
      <c r="B9" s="3" t="inlineStr">
        <is>
          <t>07月</t>
        </is>
      </c>
      <c r="C9" s="3">
        <f>SUMPRODUCT((YEAR('🛒购买记录明细'!C3:C1002)=2026)*(MONTH('🛒购买记录明细'!C3:C1002)=7)*('🛒购买记录明细'!C3:C1002&lt;&gt;""))</f>
        <v/>
      </c>
      <c r="D9" s="6">
        <f>SUMPRODUCT((YEAR('🛒购买记录明细'!C3:C1002)=2026)*(MONTH('🛒购买记录明细'!C3:C1002)=7)*('🛒购买记录明细'!G3:G1002))</f>
        <v/>
      </c>
      <c r="E9" s="6">
        <f>IF(C9=0,0,D9/C9)</f>
        <v/>
      </c>
      <c r="F9" s="11">
        <f>IF(D9=0,0,D9/SUM($D$3:$D$14))</f>
        <v/>
      </c>
    </row>
    <row r="10" ht="22" customHeight="1">
      <c r="A10" s="3" t="n">
        <v>2026</v>
      </c>
      <c r="B10" s="3" t="inlineStr">
        <is>
          <t>08月</t>
        </is>
      </c>
      <c r="C10" s="3">
        <f>SUMPRODUCT((YEAR('🛒购买记录明细'!C3:C1002)=2026)*(MONTH('🛒购买记录明细'!C3:C1002)=8)*('🛒购买记录明细'!C3:C1002&lt;&gt;""))</f>
        <v/>
      </c>
      <c r="D10" s="6">
        <f>SUMPRODUCT((YEAR('🛒购买记录明细'!C3:C1002)=2026)*(MONTH('🛒购买记录明细'!C3:C1002)=8)*('🛒购买记录明细'!G3:G1002))</f>
        <v/>
      </c>
      <c r="E10" s="6">
        <f>IF(C10=0,0,D10/C10)</f>
        <v/>
      </c>
      <c r="F10" s="11">
        <f>IF(D10=0,0,D10/SUM($D$3:$D$14))</f>
        <v/>
      </c>
    </row>
    <row r="11" ht="22" customHeight="1">
      <c r="A11" s="3" t="n">
        <v>2026</v>
      </c>
      <c r="B11" s="3" t="inlineStr">
        <is>
          <t>09月</t>
        </is>
      </c>
      <c r="C11" s="3">
        <f>SUMPRODUCT((YEAR('🛒购买记录明细'!C3:C1002)=2026)*(MONTH('🛒购买记录明细'!C3:C1002)=9)*('🛒购买记录明细'!C3:C1002&lt;&gt;""))</f>
        <v/>
      </c>
      <c r="D11" s="6">
        <f>SUMPRODUCT((YEAR('🛒购买记录明细'!C3:C1002)=2026)*(MONTH('🛒购买记录明细'!C3:C1002)=9)*('🛒购买记录明细'!G3:G1002))</f>
        <v/>
      </c>
      <c r="E11" s="6">
        <f>IF(C11=0,0,D11/C11)</f>
        <v/>
      </c>
      <c r="F11" s="11">
        <f>IF(D11=0,0,D11/SUM($D$3:$D$14))</f>
        <v/>
      </c>
    </row>
    <row r="12" ht="22" customHeight="1">
      <c r="A12" s="3" t="n">
        <v>2026</v>
      </c>
      <c r="B12" s="3" t="inlineStr">
        <is>
          <t>10月</t>
        </is>
      </c>
      <c r="C12" s="3">
        <f>SUMPRODUCT((YEAR('🛒购买记录明细'!C3:C1002)=2026)*(MONTH('🛒购买记录明细'!C3:C1002)=10)*('🛒购买记录明细'!C3:C1002&lt;&gt;""))</f>
        <v/>
      </c>
      <c r="D12" s="6">
        <f>SUMPRODUCT((YEAR('🛒购买记录明细'!C3:C1002)=2026)*(MONTH('🛒购买记录明细'!C3:C1002)=10)*('🛒购买记录明细'!G3:G1002))</f>
        <v/>
      </c>
      <c r="E12" s="6">
        <f>IF(C12=0,0,D12/C12)</f>
        <v/>
      </c>
      <c r="F12" s="11">
        <f>IF(D12=0,0,D12/SUM($D$3:$D$14))</f>
        <v/>
      </c>
    </row>
    <row r="13" ht="22" customHeight="1">
      <c r="A13" s="3" t="n">
        <v>2026</v>
      </c>
      <c r="B13" s="3" t="inlineStr">
        <is>
          <t>11月</t>
        </is>
      </c>
      <c r="C13" s="3">
        <f>SUMPRODUCT((YEAR('🛒购买记录明细'!C3:C1002)=2026)*(MONTH('🛒购买记录明细'!C3:C1002)=11)*('🛒购买记录明细'!C3:C1002&lt;&gt;""))</f>
        <v/>
      </c>
      <c r="D13" s="6">
        <f>SUMPRODUCT((YEAR('🛒购买记录明细'!C3:C1002)=2026)*(MONTH('🛒购买记录明细'!C3:C1002)=11)*('🛒购买记录明细'!G3:G1002))</f>
        <v/>
      </c>
      <c r="E13" s="6">
        <f>IF(C13=0,0,D13/C13)</f>
        <v/>
      </c>
      <c r="F13" s="11">
        <f>IF(D13=0,0,D13/SUM($D$3:$D$14))</f>
        <v/>
      </c>
    </row>
    <row r="14" ht="22" customHeight="1">
      <c r="A14" s="3" t="n">
        <v>2026</v>
      </c>
      <c r="B14" s="3" t="inlineStr">
        <is>
          <t>12月</t>
        </is>
      </c>
      <c r="C14" s="3">
        <f>SUMPRODUCT((YEAR('🛒购买记录明细'!C3:C1002)=2026)*(MONTH('🛒购买记录明细'!C3:C1002)=12)*('🛒购买记录明细'!C3:C1002&lt;&gt;""))</f>
        <v/>
      </c>
      <c r="D14" s="6">
        <f>SUMPRODUCT((YEAR('🛒购买记录明细'!C3:C1002)=2026)*(MONTH('🛒购买记录明细'!C3:C1002)=12)*('🛒购买记录明细'!G3:G1002))</f>
        <v/>
      </c>
      <c r="E14" s="6">
        <f>IF(C14=0,0,D14/C14)</f>
        <v/>
      </c>
      <c r="F14" s="11">
        <f>IF(D14=0,0,D14/SUM($D$3:$D$14))</f>
        <v/>
      </c>
    </row>
    <row r="15" ht="28" customHeight="1">
      <c r="A15" s="10" t="inlineStr">
        <is>
          <t>📊 合计</t>
        </is>
      </c>
      <c r="B15" s="10" t="n"/>
      <c r="C15" s="10">
        <f>SUM(C3:C14)</f>
        <v/>
      </c>
      <c r="D15" s="9">
        <f>SUM(D3:D14)</f>
        <v/>
      </c>
      <c r="E15" s="9">
        <f>IF(C15=0,0,D15/C15)</f>
        <v/>
      </c>
      <c r="F15" s="10" t="inlineStr">
        <is>
          <t>100.00%</t>
        </is>
      </c>
    </row>
  </sheetData>
  <mergeCells count="2">
    <mergeCell ref="A1:F1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>
        <f>SUMPRODUCT((YEAR('🛒购买记录明细'!C3:C1002)=2026)*('🛒购买记录明细'!C3:C1002&lt;&gt;""))</f>
        <v/>
      </c>
      <c r="C3" s="6">
        <f>SUMPRODUCT((YEAR('🛒购买记录明细'!C3:C1002)=2026)*('🛒购买记录明细'!G3:G1002))</f>
        <v/>
      </c>
      <c r="D3" s="6">
        <f>IF(B3=0,0,C3/B3)</f>
        <v/>
      </c>
      <c r="E3" s="3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>
        <f>SUMPRODUCT(('🛒购买记录明细'!B3:B1002="抖音")*(YEAR('🛒购买记录明细'!C3:C1002)=2026)*('🛒购买记录明细'!C3:C1002&lt;&gt;""))</f>
        <v/>
      </c>
      <c r="C3" s="6">
        <f>SUMPRODUCT(('🛒购买记录明细'!B3:B1002="抖音")*(YEAR('🛒购买记录明细'!C3:C1002)=2026)*('🛒购买记录明细'!G3:G1002))</f>
        <v/>
      </c>
      <c r="D3" s="11">
        <f>IF(C3=0,0,C3/SUM($C$3:$C$10))</f>
        <v/>
      </c>
    </row>
    <row r="4" ht="22" customHeight="1">
      <c r="A4" s="3" t="inlineStr">
        <is>
          <t>1688</t>
        </is>
      </c>
      <c r="B4" s="3">
        <f>SUMPRODUCT(('🛒购买记录明细'!B3:B1002="1688")*(YEAR('🛒购买记录明细'!C3:C1002)=2026)*('🛒购买记录明细'!C3:C1002&lt;&gt;""))</f>
        <v/>
      </c>
      <c r="C4" s="6">
        <f>SUMPRODUCT(('🛒购买记录明细'!B3:B1002="1688")*(YEAR('🛒购买记录明细'!C3:C1002)=2026)*('🛒购买记录明细'!G3:G1002))</f>
        <v/>
      </c>
      <c r="D4" s="11">
        <f>IF(C4=0,0,C4/SUM($C$3:$C$10))</f>
        <v/>
      </c>
    </row>
    <row r="5" ht="22" customHeight="1">
      <c r="A5" s="3" t="inlineStr">
        <is>
          <t>淘宝</t>
        </is>
      </c>
      <c r="B5" s="3">
        <f>SUMPRODUCT(('🛒购买记录明细'!B3:B1002="淘宝")*(YEAR('🛒购买记录明细'!C3:C1002)=2026)*('🛒购买记录明细'!C3:C1002&lt;&gt;""))</f>
        <v/>
      </c>
      <c r="C5" s="6">
        <f>SUMPRODUCT(('🛒购买记录明细'!B3:B1002="淘宝")*(YEAR('🛒购买记录明细'!C3:C1002)=2026)*('🛒购买记录明细'!G3:G1002))</f>
        <v/>
      </c>
      <c r="D5" s="11">
        <f>IF(C5=0,0,C5/SUM($C$3:$C$10))</f>
        <v/>
      </c>
    </row>
    <row r="6" ht="22" customHeight="1">
      <c r="A6" s="3" t="inlineStr">
        <is>
          <t>京东</t>
        </is>
      </c>
      <c r="B6" s="3">
        <f>SUMPRODUCT(('🛒购买记录明细'!B3:B1002="京东")*(YEAR('🛒购买记录明细'!C3:C1002)=2026)*('🛒购买记录明细'!C3:C1002&lt;&gt;""))</f>
        <v/>
      </c>
      <c r="C6" s="6">
        <f>SUMPRODUCT(('🛒购买记录明细'!B3:B1002="京东")*(YEAR('🛒购买记录明细'!C3:C1002)=2026)*('🛒购买记录明细'!G3:G1002))</f>
        <v/>
      </c>
      <c r="D6" s="11">
        <f>IF(C6=0,0,C6/SUM($C$3:$C$10))</f>
        <v/>
      </c>
    </row>
    <row r="7" ht="22" customHeight="1">
      <c r="A7" s="3" t="inlineStr">
        <is>
          <t>拼多多</t>
        </is>
      </c>
      <c r="B7" s="3">
        <f>SUMPRODUCT(('🛒购买记录明细'!B3:B1002="拼多多")*(YEAR('🛒购买记录明细'!C3:C1002)=2026)*('🛒购买记录明细'!C3:C1002&lt;&gt;""))</f>
        <v/>
      </c>
      <c r="C7" s="6">
        <f>SUMPRODUCT(('🛒购买记录明细'!B3:B1002="拼多多")*(YEAR('🛒购买记录明细'!C3:C1002)=2026)*('🛒购买记录明细'!G3:G1002))</f>
        <v/>
      </c>
      <c r="D7" s="11">
        <f>IF(C7=0,0,C7/SUM($C$3:$C$10))</f>
        <v/>
      </c>
    </row>
    <row r="8" ht="22" customHeight="1">
      <c r="A8" s="3" t="inlineStr">
        <is>
          <t>天猫</t>
        </is>
      </c>
      <c r="B8" s="3">
        <f>SUMPRODUCT(('🛒购买记录明细'!B3:B1002="天猫")*(YEAR('🛒购买记录明细'!C3:C1002)=2026)*('🛒购买记录明细'!C3:C1002&lt;&gt;""))</f>
        <v/>
      </c>
      <c r="C8" s="6">
        <f>SUMPRODUCT(('🛒购买记录明细'!B3:B1002="天猫")*(YEAR('🛒购买记录明细'!C3:C1002)=2026)*('🛒购买记录明细'!G3:G1002))</f>
        <v/>
      </c>
      <c r="D8" s="11">
        <f>IF(C8=0,0,C8/SUM($C$3:$C$10))</f>
        <v/>
      </c>
    </row>
    <row r="9" ht="22" customHeight="1">
      <c r="A9" s="3" t="inlineStr">
        <is>
          <t>苏宁</t>
        </is>
      </c>
      <c r="B9" s="3">
        <f>SUMPRODUCT(('🛒购买记录明细'!B3:B1002="苏宁")*(YEAR('🛒购买记录明细'!C3:C1002)=2026)*('🛒购买记录明细'!C3:C1002&lt;&gt;""))</f>
        <v/>
      </c>
      <c r="C9" s="6">
        <f>SUMPRODUCT(('🛒购买记录明细'!B3:B1002="苏宁")*(YEAR('🛒购买记录明细'!C3:C1002)=2026)*('🛒购买记录明细'!G3:G1002))</f>
        <v/>
      </c>
      <c r="D9" s="11">
        <f>IF(C9=0,0,C9/SUM($C$3:$C$10))</f>
        <v/>
      </c>
    </row>
    <row r="10" ht="22" customHeight="1">
      <c r="A10" s="3" t="inlineStr">
        <is>
          <t>其他</t>
        </is>
      </c>
      <c r="B10" s="3">
        <f>SUMPRODUCT(('🛒购买记录明细'!B3:B1002="其他")*(YEAR('🛒购买记录明细'!C3:C1002)=2026)*('🛒购买记录明细'!C3:C1002&lt;&gt;""))</f>
        <v/>
      </c>
      <c r="C10" s="6">
        <f>SUMPRODUCT(('🛒购买记录明细'!B3:B1002="其他")*(YEAR('🛒购买记录明细'!C3:C1002)=2026)*('🛒购买记录明细'!G3:G1002))</f>
        <v/>
      </c>
      <c r="D10" s="11">
        <f>IF(C10=0,0,C10/SUM($C$3:$C$10))</f>
        <v/>
      </c>
    </row>
    <row r="11" ht="28" customHeight="1">
      <c r="A11" s="10" t="inlineStr">
        <is>
          <t>📊 合计</t>
        </is>
      </c>
      <c r="B11" s="10">
        <f>SUM(B3:B10)</f>
        <v/>
      </c>
      <c r="C11" s="9">
        <f>SUM(C3:C10)</f>
        <v/>
      </c>
      <c r="D11" s="10" t="inlineStr">
        <is>
          <t>100.00%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2026-07-18T02:45:14Z</dcterms:created>
  <dcterms:modified xsi:type="dcterms:W3CDTF">2026-07-18T02:45:14Z</dcterms:modified>
</cp:coreProperties>
</file>